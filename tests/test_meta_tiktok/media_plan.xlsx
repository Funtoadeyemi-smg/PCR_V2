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 Plan " sheetId="1" r:id="rId4"/>
  </sheets>
  <definedNames/>
  <calcPr/>
  <extLst>
    <ext uri="GoogleSheetsCustomDataVersion2">
      <go:sheetsCustomData xmlns:go="http://customooxmlschemas.google.com/" r:id="rId5" roundtripDataChecksum="wLh0jyiypZdfIh7r9AFFsI40EC7jGW2s5EKYhoCTc18="/>
    </ext>
  </extLst>
</workbook>
</file>

<file path=xl/sharedStrings.xml><?xml version="1.0" encoding="utf-8"?>
<sst xmlns="http://schemas.openxmlformats.org/spreadsheetml/2006/main" count="38" uniqueCount="35">
  <si>
    <t xml:space="preserve"> </t>
  </si>
  <si>
    <t>Campaign activation investment (Campaign gross cost):</t>
  </si>
  <si>
    <t>Audience360 - NCF Media Plan
Chanel - Hydrabeauty</t>
  </si>
  <si>
    <t>Net media spend:</t>
  </si>
  <si>
    <t>Total fees:</t>
  </si>
  <si>
    <t>PO number:</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</si>
  <si>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</si>
  <si>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</si>
  <si>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</si>
  <si>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</si>
  <si>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</si>
  <si>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</si>
  <si>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</si>
  <si>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</si>
  <si>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</si>
  <si>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</si>
  <si>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</si>
  <si>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</si>
  <si>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</si>
  <si>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</si>
  <si>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</si>
  <si>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</si>
  <si>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</si>
  <si>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</si>
  <si>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Meta (Facebook &amp; Instagram)</t>
  </si>
  <si>
    <t>Awareness</t>
  </si>
  <si>
    <t>Static / Carousel / Video 
(in-feed and Story, both 1x1 (or 4x5) and 9x16 to be supplied</t>
  </si>
  <si>
    <t>Current Huda Beauty Shoppers L12M
Lapsed Huda Beauty Shoppers L12M-L24M
Huda Beauty (Setting Spray) bespoke Competitor List L3M-L24M
Setting Spray Shoppers L6M
Premium Cosmetics Propensity Model
NPD Beauty Shoppers</t>
  </si>
  <si>
    <t>3 per week</t>
  </si>
  <si>
    <t>15/05/25-10/07/25
8 weeks</t>
  </si>
  <si>
    <t>Sales</t>
  </si>
  <si>
    <t>TikTok</t>
  </si>
  <si>
    <t>Video Views</t>
  </si>
  <si>
    <t>Video</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</si>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</sst>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Red]\-&quot;£&quot;#,##0"/>
    <numFmt numFmtId="165" formatCode="[$£]#,##0.00"/>
    <numFmt numFmtId="166" formatCode="&quot;£&quot;#,##0"/>
  </numFmts>
  <fonts count="15">
    <font>
      <sz val="10.0"/>
      <color rgb="FF000000"/>
      <name val="Arial"/>
      <scheme val="minor"/>
    </font>
    <font>
      <sz val="11.0"/>
      <color theme="1"/>
      <name val="Montserrat"/>
    </font>
    <font>
      <b/>
      <sz val="11.0"/>
      <color theme="1"/>
      <name val="Montserrat"/>
    </font>
    <font>
      <b/>
      <sz val="17.0"/>
      <color theme="1"/>
      <name val="Montserrat"/>
    </font>
    <font/>
    <font>
      <b/>
      <sz val="11.0"/>
      <color rgb="FFFFFFFF"/>
      <name val="Montserrat"/>
    </font>
    <font>
      <b/>
      <sz val="11.0"/>
      <color rgb="FF222222"/>
      <name val="Montserrat"/>
    </font>
    <font>
      <b/>
      <sz val="11.0"/>
      <color rgb="FF000000"/>
      <name val="Montserrat"/>
    </font>
    <font>
      <sz val="11.0"/>
      <color rgb="FF222222"/>
      <name val="Montserrat"/>
    </font>
    <font>
      <sz val="11.0"/>
      <color rgb="FF000000"/>
      <name val="Montserrat"/>
    </font>
    <font>
      <sz val="10.0"/>
      <color theme="1"/>
      <name val="Arial"/>
    </font>
    <font>
      <sz val="11.0"/>
      <color rgb="FFFFFFFF"/>
      <name val="Montserrat"/>
    </font>
    <font>
      <sz val="11.0"/>
      <color theme="0"/>
      <name val="Montserrat"/>
    </font>
    <font>
      <b/>
      <i/>
      <sz val="11.0"/>
      <color theme="1"/>
      <name val="Montserrat"/>
    </font>
    <font>
      <sz val="10.0"/>
      <color theme="1"/>
      <name val="Montserrat"/>
    </font>
  </fonts>
  <fills count="5">
    <fill>
      <patternFill patternType="none"/>
    </fill>
    <fill>
      <patternFill patternType="lightGray"/>
    </fill>
    <fill>
      <patternFill patternType="solid">
        <fgColor theme="0"/>
        <bgColor theme="0"/>
      </patternFill>
    </fill>
    <fill>
      <patternFill patternType="solid">
        <fgColor rgb="FF002060"/>
        <bgColor rgb="FF002060"/>
      </patternFill>
    </fill>
    <fill>
      <patternFill patternType="solid">
        <fgColor rgb="FFFFFFFF"/>
        <bgColor rgb="FFFFFFFF"/>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right style="thin">
        <color rgb="FFFFFFFF"/>
      </right>
      <top style="thin">
        <color rgb="FFFFFFFF"/>
      </top>
      <bottom style="thin">
        <color rgb="FFFFFFFF"/>
      </bottom>
    </border>
    <border>
      <right style="thin">
        <color rgb="FFFFFFFF"/>
      </right>
      <top style="thin">
        <color rgb="FFFFFFFF"/>
      </top>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bottom/>
    </border>
    <border>
      <left/>
      <top/>
    </border>
    <border>
      <top/>
    </border>
    <border>
      <left/>
    </border>
    <border>
      <left style="thin">
        <color rgb="FFFFFFFF"/>
      </left>
      <right style="thin">
        <color rgb="FFFFFFFF"/>
      </right>
      <top/>
      <bottom style="thin">
        <color rgb="FFFFFFF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Alignment="1" applyBorder="1" applyFont="1">
      <alignment shrinkToFit="0" vertical="center" wrapText="1"/>
    </xf>
    <xf borderId="2" fillId="0" fontId="2" numFmtId="164" xfId="0" applyAlignment="1" applyBorder="1" applyFont="1" applyNumberFormat="1">
      <alignment horizontal="right" shrinkToFit="0" vertical="center" wrapText="1"/>
    </xf>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5" fillId="0" fontId="2" numFmtId="0" xfId="0" applyAlignment="1" applyBorder="1" applyFont="1">
      <alignment shrinkToFit="0" vertical="center" wrapText="1"/>
    </xf>
    <xf borderId="6" fillId="0" fontId="2" numFmtId="164" xfId="0" applyAlignment="1" applyBorder="1" applyFont="1" applyNumberFormat="1">
      <alignment horizontal="right" shrinkToFit="0" vertical="center" wrapText="1"/>
    </xf>
    <xf borderId="7"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9" fillId="0" fontId="4" numFmtId="0" xfId="0" applyBorder="1" applyFont="1"/>
    <xf borderId="6" fillId="0" fontId="2" numFmtId="49" xfId="0" applyAlignment="1" applyBorder="1" applyFont="1" applyNumberFormat="1">
      <alignment horizontal="right" shrinkToFit="0" vertical="center" wrapText="1"/>
    </xf>
    <xf borderId="2" fillId="3" fontId="5" numFmtId="0" xfId="0" applyAlignment="1" applyBorder="1" applyFill="1" applyFont="1">
      <alignment horizontal="center" shrinkToFit="0" vertical="center" wrapText="1"/>
    </xf>
    <xf borderId="10" fillId="0" fontId="6" numFmtId="0" xfId="0" applyAlignment="1" applyBorder="1" applyFont="1">
      <alignment horizontal="center" shrinkToFit="0" vertical="center" wrapText="1"/>
    </xf>
    <xf borderId="10" fillId="4" fontId="6" numFmtId="0" xfId="0" applyAlignment="1" applyBorder="1" applyFill="1" applyFont="1">
      <alignment horizontal="center" shrinkToFit="0" vertical="center" wrapText="1"/>
    </xf>
    <xf borderId="10" fillId="0" fontId="7" numFmtId="0" xfId="0" applyAlignment="1" applyBorder="1" applyFont="1">
      <alignment horizontal="center" shrinkToFit="0" vertical="center" wrapText="1"/>
    </xf>
    <xf borderId="10" fillId="4" fontId="8" numFmtId="0" xfId="0" applyAlignment="1" applyBorder="1" applyFont="1">
      <alignment horizontal="center" shrinkToFit="0" vertical="center" wrapText="1"/>
    </xf>
    <xf borderId="10" fillId="0" fontId="9" numFmtId="0" xfId="0" applyAlignment="1" applyBorder="1" applyFont="1">
      <alignment horizontal="center" readingOrder="0" shrinkToFit="0" vertical="center" wrapText="1"/>
    </xf>
    <xf borderId="10" fillId="0" fontId="1" numFmtId="10" xfId="0" applyAlignment="1" applyBorder="1" applyFont="1" applyNumberFormat="1">
      <alignment horizontal="center" shrinkToFit="0" vertical="center" wrapText="1"/>
    </xf>
    <xf borderId="10" fillId="0" fontId="1" numFmtId="3" xfId="0" applyAlignment="1" applyBorder="1" applyFont="1" applyNumberFormat="1">
      <alignment horizontal="center" shrinkToFit="0" vertical="center" wrapText="1"/>
    </xf>
    <xf borderId="10" fillId="0" fontId="1" numFmtId="0" xfId="0" applyAlignment="1" applyBorder="1" applyFont="1">
      <alignment horizontal="center" shrinkToFit="0" vertical="center" wrapText="1"/>
    </xf>
    <xf borderId="10" fillId="0" fontId="1" numFmtId="165" xfId="0" applyAlignment="1" applyBorder="1" applyFont="1" applyNumberFormat="1">
      <alignment horizontal="center" shrinkToFit="0" vertical="center" wrapText="1"/>
    </xf>
    <xf borderId="10" fillId="0" fontId="1" numFmtId="165" xfId="0" applyAlignment="1" applyBorder="1" applyFont="1" applyNumberFormat="1">
      <alignment horizontal="center" readingOrder="0" shrinkToFit="0" vertical="center" wrapText="1"/>
    </xf>
    <xf borderId="11" fillId="0" fontId="4" numFmtId="0" xfId="0" applyBorder="1" applyFont="1"/>
    <xf borderId="1" fillId="2" fontId="1" numFmtId="165" xfId="0" applyAlignment="1" applyBorder="1" applyFont="1" applyNumberFormat="1">
      <alignment shrinkToFit="0" vertical="center" wrapText="1"/>
    </xf>
    <xf borderId="5" fillId="0" fontId="4" numFmtId="0" xfId="0" applyBorder="1" applyFont="1"/>
    <xf borderId="10" fillId="0" fontId="6"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2" fillId="3" fontId="8" numFmtId="0" xfId="0" applyAlignment="1" applyBorder="1" applyFont="1">
      <alignment horizontal="center" shrinkToFit="0" vertical="center" wrapText="1"/>
    </xf>
    <xf borderId="12" fillId="3" fontId="1" numFmtId="0" xfId="0" applyAlignment="1" applyBorder="1" applyFont="1">
      <alignment horizontal="center" shrinkToFit="0" vertical="center" wrapText="1"/>
    </xf>
    <xf borderId="12" fillId="3" fontId="10" numFmtId="0" xfId="0" applyAlignment="1" applyBorder="1" applyFont="1">
      <alignment horizontal="center" vertical="center"/>
    </xf>
    <xf borderId="12" fillId="3" fontId="11" numFmtId="10" xfId="0" applyAlignment="1" applyBorder="1" applyFont="1" applyNumberFormat="1">
      <alignment horizontal="center" shrinkToFit="0" vertical="center" wrapText="1"/>
    </xf>
    <xf borderId="12" fillId="3" fontId="12" numFmtId="3" xfId="0" applyAlignment="1" applyBorder="1" applyFont="1" applyNumberFormat="1">
      <alignment horizontal="center" shrinkToFit="0" vertical="center" wrapText="1"/>
    </xf>
    <xf borderId="12" fillId="3" fontId="1" numFmtId="3" xfId="0" applyAlignment="1" applyBorder="1" applyFont="1" applyNumberFormat="1">
      <alignment horizontal="center" shrinkToFit="0" vertical="center" wrapText="1"/>
    </xf>
    <xf borderId="12" fillId="3" fontId="11" numFmtId="165" xfId="0" applyAlignment="1" applyBorder="1" applyFont="1" applyNumberFormat="1">
      <alignment horizontal="center" shrinkToFit="0" vertical="center" wrapText="1"/>
    </xf>
    <xf borderId="12" fillId="3" fontId="12" numFmtId="166" xfId="0" applyAlignment="1" applyBorder="1" applyFont="1" applyNumberFormat="1">
      <alignment horizontal="center" shrinkToFit="0" vertical="center" wrapText="1"/>
    </xf>
    <xf borderId="1" fillId="3" fontId="1" numFmtId="166"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1" numFmtId="3"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3" fillId="4" fontId="13" numFmtId="0" xfId="0" applyAlignment="1" applyBorder="1" applyFont="1">
      <alignment shrinkToFit="0" wrapText="1"/>
    </xf>
    <xf borderId="14" fillId="0" fontId="4" numFmtId="0" xfId="0" applyBorder="1" applyFont="1"/>
    <xf borderId="15" fillId="0" fontId="4" numFmtId="0" xfId="0" applyBorder="1" applyFont="1"/>
    <xf borderId="16" fillId="2" fontId="1" numFmtId="0" xfId="0" applyAlignment="1" applyBorder="1" applyFont="1">
      <alignment shrinkToFit="0" vertical="center" wrapText="1"/>
    </xf>
    <xf borderId="3" fillId="2" fontId="1" numFmtId="0" xfId="0" applyAlignment="1" applyBorder="1" applyFont="1">
      <alignment shrinkToFit="0" vertical="center" wrapText="1"/>
    </xf>
    <xf borderId="1" fillId="2" fontId="1" numFmtId="10" xfId="0" applyAlignment="1" applyBorder="1" applyFont="1" applyNumberFormat="1">
      <alignment shrinkToFit="0" vertical="center" wrapText="1"/>
    </xf>
    <xf borderId="1" fillId="2" fontId="1" numFmtId="164" xfId="0" applyAlignment="1" applyBorder="1" applyFont="1" applyNumberFormat="1">
      <alignment shrinkToFit="0" vertical="center" wrapText="1"/>
    </xf>
    <xf borderId="0" fillId="0" fontId="1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25"/>
    <col customWidth="1" min="2" max="3" width="16.88"/>
    <col customWidth="1" min="4" max="6" width="22.88"/>
    <col customWidth="1" min="7" max="11" width="16.88"/>
    <col customWidth="1" min="12" max="13" width="13.5"/>
    <col customWidth="1" min="14" max="15" width="16.88"/>
    <col customWidth="1" min="16" max="16" width="26.88"/>
    <col customWidth="1" min="17" max="17" width="7.63"/>
    <col customWidth="1" min="18" max="18" width="11.13"/>
    <col customWidth="1" min="19" max="27" width="7.63"/>
  </cols>
  <sheetData>
    <row r="1" ht="14.25" customHeight="1">
      <c r="A1" s="1" t="s">
        <v>0</v>
      </c>
      <c r="B1" s="1"/>
      <c r="C1" s="1"/>
      <c r="D1" s="1"/>
      <c r="E1" s="1"/>
      <c r="F1" s="1"/>
      <c r="G1" s="1"/>
      <c r="H1" s="1"/>
      <c r="I1" s="1"/>
      <c r="J1" s="1"/>
      <c r="K1" s="1"/>
      <c r="L1" s="1"/>
      <c r="M1" s="1"/>
      <c r="N1" s="1"/>
      <c r="O1" s="1"/>
      <c r="P1" s="1"/>
      <c r="Q1" s="1"/>
      <c r="R1" s="1"/>
      <c r="S1" s="1"/>
      <c r="T1" s="1"/>
      <c r="U1" s="1"/>
      <c r="V1" s="1"/>
      <c r="W1" s="1"/>
      <c r="X1" s="1"/>
      <c r="Y1" s="1"/>
      <c r="Z1" s="1"/>
      <c r="AA1" s="1"/>
    </row>
    <row r="2" ht="28.5" customHeight="1">
      <c r="A2" s="2" t="s">
        <v>1</v>
      </c>
      <c r="B2" s="3">
        <v>60000.0</v>
      </c>
      <c r="C2" s="4"/>
      <c r="D2" s="4"/>
      <c r="E2" s="5"/>
      <c r="F2" s="6" t="s">
        <v>2</v>
      </c>
      <c r="L2" s="1"/>
      <c r="M2" s="1"/>
      <c r="N2" s="1"/>
      <c r="O2" s="1"/>
      <c r="P2" s="1"/>
      <c r="Q2" s="1"/>
      <c r="R2" s="1"/>
      <c r="S2" s="1"/>
      <c r="T2" s="1"/>
      <c r="U2" s="1"/>
      <c r="V2" s="1"/>
      <c r="W2" s="1"/>
      <c r="X2" s="1"/>
      <c r="Y2" s="1"/>
      <c r="Z2" s="1"/>
      <c r="AA2" s="1"/>
    </row>
    <row r="3" ht="28.5" customHeight="1">
      <c r="A3" s="7" t="s">
        <v>3</v>
      </c>
      <c r="B3" s="8">
        <f>0.7*B2</f>
        <v>42000</v>
      </c>
      <c r="C3" s="4"/>
      <c r="D3" s="4"/>
      <c r="E3" s="9"/>
      <c r="L3" s="1"/>
      <c r="M3" s="1"/>
      <c r="N3" s="1"/>
      <c r="O3" s="1"/>
      <c r="P3" s="1"/>
      <c r="Q3" s="1"/>
      <c r="R3" s="1"/>
      <c r="S3" s="1"/>
      <c r="T3" s="1"/>
      <c r="U3" s="1"/>
      <c r="V3" s="1"/>
      <c r="W3" s="1"/>
      <c r="X3" s="1"/>
      <c r="Y3" s="1"/>
      <c r="Z3" s="1"/>
      <c r="AA3" s="1"/>
    </row>
    <row r="4" ht="28.5" customHeight="1">
      <c r="A4" s="7" t="s">
        <v>4</v>
      </c>
      <c r="B4" s="8">
        <f>B2-B3</f>
        <v>18000</v>
      </c>
      <c r="C4" s="4"/>
      <c r="D4" s="4"/>
      <c r="E4" s="10"/>
      <c r="F4" s="11"/>
      <c r="G4" s="11"/>
      <c r="H4" s="11"/>
      <c r="I4" s="11"/>
      <c r="J4" s="11"/>
      <c r="K4" s="11"/>
      <c r="L4" s="1"/>
      <c r="M4" s="1"/>
      <c r="N4" s="1"/>
      <c r="O4" s="1"/>
      <c r="P4" s="1"/>
      <c r="Q4" s="1"/>
      <c r="R4" s="1"/>
      <c r="S4" s="1"/>
      <c r="T4" s="1"/>
      <c r="U4" s="1"/>
      <c r="V4" s="1"/>
      <c r="W4" s="1"/>
      <c r="X4" s="1"/>
      <c r="Y4" s="1"/>
      <c r="Z4" s="1"/>
      <c r="AA4" s="1"/>
    </row>
    <row r="5" ht="28.5" customHeight="1">
      <c r="A5" s="7" t="s">
        <v>5</v>
      </c>
      <c r="B5" s="12"/>
      <c r="C5" s="1"/>
      <c r="D5" s="1"/>
      <c r="E5" s="1"/>
      <c r="F5" s="1"/>
      <c r="G5" s="1"/>
      <c r="H5" s="1"/>
      <c r="I5" s="1"/>
      <c r="J5" s="1"/>
      <c r="K5" s="1"/>
      <c r="L5" s="1"/>
      <c r="M5" s="1"/>
      <c r="N5" s="1"/>
      <c r="O5" s="1"/>
      <c r="P5" s="1"/>
      <c r="Q5" s="1"/>
      <c r="R5" s="1"/>
      <c r="S5" s="1"/>
      <c r="T5" s="1"/>
      <c r="U5" s="1"/>
      <c r="V5" s="1"/>
      <c r="W5" s="1"/>
      <c r="X5" s="1"/>
      <c r="Y5" s="1"/>
      <c r="Z5" s="1"/>
      <c r="AA5" s="1"/>
    </row>
    <row r="6" ht="14.25" customHeight="1">
      <c r="A6" s="1"/>
      <c r="B6" s="1"/>
      <c r="C6" s="1"/>
      <c r="D6" s="1"/>
      <c r="E6" s="1"/>
      <c r="F6" s="1"/>
      <c r="G6" s="1"/>
      <c r="H6" s="1"/>
      <c r="I6" s="1"/>
      <c r="J6" s="1"/>
      <c r="K6" s="1"/>
      <c r="L6" s="1"/>
      <c r="M6" s="1"/>
      <c r="N6" s="1"/>
      <c r="O6" s="1"/>
      <c r="P6" s="1"/>
      <c r="Q6" s="1"/>
      <c r="R6" s="1"/>
      <c r="S6" s="1"/>
      <c r="T6" s="1"/>
      <c r="U6" s="1"/>
      <c r="V6" s="1"/>
      <c r="W6" s="1"/>
      <c r="X6" s="1"/>
      <c r="Y6" s="1"/>
      <c r="Z6" s="1"/>
      <c r="AA6" s="1"/>
    </row>
    <row r="7" ht="14.25" customHeight="1">
      <c r="A7" s="1"/>
      <c r="B7" s="1"/>
      <c r="C7" s="1"/>
      <c r="D7" s="1"/>
      <c r="E7" s="1"/>
      <c r="F7" s="1"/>
      <c r="G7" s="1"/>
      <c r="H7" s="1"/>
      <c r="I7" s="1"/>
      <c r="J7" s="1"/>
      <c r="K7" s="1"/>
      <c r="L7" s="1"/>
      <c r="M7" s="1"/>
      <c r="N7" s="1"/>
      <c r="O7" s="1"/>
      <c r="P7" s="1"/>
      <c r="Q7" s="1"/>
      <c r="R7" s="1"/>
      <c r="S7" s="1"/>
      <c r="T7" s="1"/>
      <c r="U7" s="1"/>
      <c r="V7" s="1"/>
      <c r="W7" s="1"/>
      <c r="X7" s="1"/>
      <c r="Y7" s="1"/>
      <c r="Z7" s="1"/>
      <c r="AA7" s="1"/>
    </row>
    <row r="8" ht="54.0" customHeight="1">
      <c r="A8" s="13" t="s">
        <v>6</v>
      </c>
      <c r="B8" s="13" t="s">
        <v>7</v>
      </c>
      <c r="C8" s="13" t="s">
        <v>8</v>
      </c>
      <c r="D8" s="13" t="s">
        <v>9</v>
      </c>
      <c r="E8" s="13" t="s">
        <v>10</v>
      </c>
      <c r="F8" s="13" t="s">
        <v>11</v>
      </c>
      <c r="G8" s="13" t="s">
        <v>12</v>
      </c>
      <c r="H8" s="13" t="s">
        <v>13</v>
      </c>
      <c r="I8" s="13" t="s">
        <v>14</v>
      </c>
      <c r="J8" s="13" t="s">
        <v>15</v>
      </c>
      <c r="K8" s="13" t="s">
        <v>16</v>
      </c>
      <c r="L8" s="13" t="s">
        <v>17</v>
      </c>
      <c r="M8" s="13" t="s">
        <v>18</v>
      </c>
      <c r="N8" s="13" t="s">
        <v>19</v>
      </c>
      <c r="O8" s="13" t="s">
        <v>20</v>
      </c>
      <c r="P8" s="13" t="s">
        <v>21</v>
      </c>
      <c r="Q8" s="1"/>
      <c r="R8" s="1"/>
      <c r="S8" s="1"/>
      <c r="T8" s="1"/>
      <c r="U8" s="1"/>
      <c r="V8" s="1"/>
      <c r="W8" s="1"/>
      <c r="X8" s="1"/>
      <c r="Y8" s="1"/>
      <c r="Z8" s="1"/>
      <c r="AA8" s="1"/>
    </row>
    <row r="9" ht="60.0" customHeight="1">
      <c r="A9" s="14" t="s">
        <v>22</v>
      </c>
      <c r="B9" s="15" t="s">
        <v>23</v>
      </c>
      <c r="C9" s="14" t="s">
        <v>24</v>
      </c>
      <c r="D9" s="16" t="s">
        <v>25</v>
      </c>
      <c r="E9" s="17" t="s">
        <v>26</v>
      </c>
      <c r="F9" s="18" t="s">
        <v>27</v>
      </c>
      <c r="G9" s="19">
        <v>0.001</v>
      </c>
      <c r="H9" s="20">
        <f>I9*G9</f>
        <v>4682.274247</v>
      </c>
      <c r="I9" s="20">
        <f>N9/M9*1000</f>
        <v>4682274.247</v>
      </c>
      <c r="J9" s="21" t="s">
        <v>28</v>
      </c>
      <c r="K9" s="20">
        <f>SUM(I9/3)/6</f>
        <v>260126.3471</v>
      </c>
      <c r="L9" s="22">
        <v>8.54</v>
      </c>
      <c r="M9" s="22">
        <v>5.98</v>
      </c>
      <c r="N9" s="23">
        <v>28000.0</v>
      </c>
      <c r="O9" s="23">
        <v>40000.0</v>
      </c>
      <c r="P9" s="18" t="s">
        <v>29</v>
      </c>
      <c r="Q9" s="1"/>
      <c r="R9" s="1"/>
      <c r="S9" s="1"/>
      <c r="T9" s="1"/>
      <c r="U9" s="1"/>
      <c r="V9" s="1"/>
      <c r="W9" s="1"/>
      <c r="X9" s="1"/>
      <c r="Y9" s="1"/>
      <c r="Z9" s="1"/>
      <c r="AA9" s="1"/>
    </row>
    <row r="10" ht="60.0" customHeight="1">
      <c r="A10" s="24"/>
      <c r="B10" s="24"/>
      <c r="C10" s="24"/>
      <c r="D10" s="24"/>
      <c r="E10" s="24"/>
      <c r="F10" s="24"/>
      <c r="G10" s="24"/>
      <c r="H10" s="24"/>
      <c r="I10" s="24"/>
      <c r="J10" s="24"/>
      <c r="K10" s="24"/>
      <c r="L10" s="24"/>
      <c r="M10" s="24"/>
      <c r="N10" s="24"/>
      <c r="O10" s="24"/>
      <c r="P10" s="24"/>
      <c r="Q10" s="1"/>
      <c r="R10" s="1"/>
      <c r="S10" s="1"/>
      <c r="T10" s="1"/>
      <c r="U10" s="1"/>
      <c r="V10" s="1"/>
      <c r="W10" s="1"/>
      <c r="X10" s="1"/>
      <c r="Y10" s="1"/>
      <c r="Z10" s="1"/>
      <c r="AA10" s="1"/>
    </row>
    <row r="11" ht="60.0" customHeight="1">
      <c r="A11" s="24"/>
      <c r="B11" s="24"/>
      <c r="C11" s="24"/>
      <c r="D11" s="24"/>
      <c r="E11" s="24"/>
      <c r="F11" s="24"/>
      <c r="G11" s="24"/>
      <c r="H11" s="24"/>
      <c r="I11" s="24"/>
      <c r="J11" s="24"/>
      <c r="K11" s="24"/>
      <c r="L11" s="24"/>
      <c r="M11" s="24"/>
      <c r="N11" s="24"/>
      <c r="O11" s="24"/>
      <c r="P11" s="24"/>
      <c r="Q11" s="1"/>
      <c r="R11" s="25"/>
      <c r="S11" s="1"/>
      <c r="T11" s="1"/>
      <c r="U11" s="1"/>
      <c r="V11" s="1"/>
      <c r="W11" s="1"/>
      <c r="X11" s="1"/>
      <c r="Y11" s="1"/>
      <c r="Z11" s="1"/>
      <c r="AA11" s="1"/>
    </row>
    <row r="12" ht="60.0" customHeight="1">
      <c r="A12" s="24"/>
      <c r="B12" s="24"/>
      <c r="C12" s="24"/>
      <c r="D12" s="26"/>
      <c r="E12" s="26"/>
      <c r="F12" s="24"/>
      <c r="G12" s="24"/>
      <c r="H12" s="24"/>
      <c r="I12" s="24"/>
      <c r="J12" s="24"/>
      <c r="K12" s="24"/>
      <c r="L12" s="24"/>
      <c r="M12" s="24"/>
      <c r="N12" s="26"/>
      <c r="O12" s="24"/>
      <c r="P12" s="24"/>
      <c r="Q12" s="1"/>
      <c r="R12" s="25"/>
      <c r="S12" s="1"/>
      <c r="T12" s="1"/>
      <c r="U12" s="1"/>
      <c r="V12" s="1"/>
      <c r="W12" s="1"/>
      <c r="X12" s="1"/>
      <c r="Y12" s="1"/>
      <c r="Z12" s="1"/>
      <c r="AA12" s="1"/>
    </row>
    <row r="13" ht="60.0" customHeight="1">
      <c r="A13" s="24"/>
      <c r="B13" s="24"/>
      <c r="C13" s="24"/>
      <c r="D13" s="16" t="s">
        <v>30</v>
      </c>
      <c r="E13" s="17" t="s">
        <v>26</v>
      </c>
      <c r="F13" s="24"/>
      <c r="G13" s="19">
        <v>0.001</v>
      </c>
      <c r="H13" s="20">
        <f>I13*G13</f>
        <v>2341.137124</v>
      </c>
      <c r="I13" s="20">
        <f>N13/M13*1000</f>
        <v>2341137.124</v>
      </c>
      <c r="J13" s="21" t="s">
        <v>28</v>
      </c>
      <c r="K13" s="20">
        <f>SUM(I13/3)/6</f>
        <v>130063.1735</v>
      </c>
      <c r="L13" s="22">
        <v>8.54</v>
      </c>
      <c r="M13" s="22">
        <v>5.98</v>
      </c>
      <c r="N13" s="23">
        <v>14000.0</v>
      </c>
      <c r="O13" s="23">
        <v>20000.0</v>
      </c>
      <c r="P13" s="24"/>
      <c r="Q13" s="1"/>
      <c r="R13" s="1"/>
      <c r="S13" s="1"/>
      <c r="T13" s="1"/>
      <c r="U13" s="1"/>
      <c r="V13" s="1"/>
      <c r="W13" s="1"/>
      <c r="X13" s="1"/>
      <c r="Y13" s="1"/>
      <c r="Z13" s="1"/>
      <c r="AA13" s="1"/>
    </row>
    <row r="14" ht="60.0" customHeight="1">
      <c r="A14" s="24"/>
      <c r="B14" s="24"/>
      <c r="C14" s="24"/>
      <c r="D14" s="24"/>
      <c r="E14" s="24"/>
      <c r="F14" s="24"/>
      <c r="G14" s="24"/>
      <c r="H14" s="24"/>
      <c r="I14" s="24"/>
      <c r="J14" s="24"/>
      <c r="K14" s="24"/>
      <c r="L14" s="24"/>
      <c r="M14" s="24"/>
      <c r="N14" s="24"/>
      <c r="O14" s="24"/>
      <c r="P14" s="24"/>
      <c r="Q14" s="1"/>
      <c r="R14" s="1"/>
      <c r="S14" s="1"/>
      <c r="T14" s="1"/>
      <c r="U14" s="1"/>
      <c r="V14" s="1"/>
      <c r="W14" s="1"/>
      <c r="X14" s="1"/>
      <c r="Y14" s="1"/>
      <c r="Z14" s="1"/>
      <c r="AA14" s="1"/>
    </row>
    <row r="15" ht="60.0" customHeight="1">
      <c r="A15" s="24"/>
      <c r="B15" s="24"/>
      <c r="C15" s="24"/>
      <c r="D15" s="24"/>
      <c r="E15" s="24"/>
      <c r="F15" s="24"/>
      <c r="G15" s="24"/>
      <c r="H15" s="24"/>
      <c r="I15" s="24"/>
      <c r="J15" s="24"/>
      <c r="K15" s="24"/>
      <c r="L15" s="24"/>
      <c r="M15" s="24"/>
      <c r="N15" s="24"/>
      <c r="O15" s="24"/>
      <c r="P15" s="24"/>
      <c r="Q15" s="1"/>
      <c r="R15" s="1"/>
      <c r="S15" s="1"/>
      <c r="T15" s="1"/>
      <c r="U15" s="1"/>
      <c r="V15" s="1"/>
      <c r="W15" s="1"/>
      <c r="X15" s="1"/>
      <c r="Y15" s="1"/>
      <c r="Z15" s="1"/>
      <c r="AA15" s="1"/>
    </row>
    <row r="16" ht="60.0" customHeight="1">
      <c r="A16" s="24"/>
      <c r="B16" s="24"/>
      <c r="C16" s="26"/>
      <c r="D16" s="26"/>
      <c r="E16" s="26"/>
      <c r="F16" s="24"/>
      <c r="G16" s="24"/>
      <c r="H16" s="24"/>
      <c r="I16" s="24"/>
      <c r="J16" s="24"/>
      <c r="K16" s="24"/>
      <c r="L16" s="24"/>
      <c r="M16" s="24"/>
      <c r="N16" s="26"/>
      <c r="O16" s="24"/>
      <c r="P16" s="24"/>
      <c r="Q16" s="1"/>
      <c r="R16" s="1"/>
      <c r="S16" s="1"/>
      <c r="T16" s="1"/>
      <c r="U16" s="1"/>
      <c r="V16" s="1"/>
      <c r="W16" s="1"/>
      <c r="X16" s="1"/>
      <c r="Y16" s="1"/>
      <c r="Z16" s="1"/>
      <c r="AA16" s="1"/>
    </row>
    <row r="17" ht="60.0" customHeight="1">
      <c r="A17" s="24"/>
      <c r="B17" s="24"/>
      <c r="C17" s="27" t="s">
        <v>31</v>
      </c>
      <c r="D17" s="27" t="s">
        <v>32</v>
      </c>
      <c r="E17" s="28" t="s">
        <v>33</v>
      </c>
      <c r="F17" s="24"/>
      <c r="G17" s="19">
        <v>0.001</v>
      </c>
      <c r="H17" s="20">
        <f>I17*G17</f>
        <v>1925.722146</v>
      </c>
      <c r="I17" s="20">
        <f>N17/M17*1000</f>
        <v>1925722.146</v>
      </c>
      <c r="J17" s="21" t="s">
        <v>28</v>
      </c>
      <c r="K17" s="20">
        <f>SUM(I17/3)/6</f>
        <v>106984.5637</v>
      </c>
      <c r="L17" s="22">
        <f>M17/0.7</f>
        <v>10.38571429</v>
      </c>
      <c r="M17" s="23">
        <v>7.27</v>
      </c>
      <c r="N17" s="23">
        <v>14000.0</v>
      </c>
      <c r="O17" s="23">
        <v>20000.0</v>
      </c>
      <c r="P17" s="24"/>
      <c r="Q17" s="1"/>
      <c r="R17" s="1"/>
      <c r="S17" s="1"/>
      <c r="T17" s="1"/>
      <c r="U17" s="1"/>
      <c r="V17" s="1"/>
      <c r="W17" s="1"/>
      <c r="X17" s="1"/>
      <c r="Y17" s="1"/>
      <c r="Z17" s="1"/>
      <c r="AA17" s="1"/>
    </row>
    <row r="18" ht="60.0" customHeight="1">
      <c r="A18" s="24"/>
      <c r="B18" s="24"/>
      <c r="C18" s="24"/>
      <c r="D18" s="24"/>
      <c r="E18" s="24"/>
      <c r="F18" s="24"/>
      <c r="G18" s="24"/>
      <c r="H18" s="24"/>
      <c r="I18" s="24"/>
      <c r="J18" s="24"/>
      <c r="K18" s="24"/>
      <c r="L18" s="24"/>
      <c r="M18" s="24"/>
      <c r="N18" s="24"/>
      <c r="O18" s="24"/>
      <c r="P18" s="24"/>
      <c r="Q18" s="1"/>
      <c r="R18" s="1"/>
      <c r="S18" s="1"/>
      <c r="T18" s="1"/>
      <c r="U18" s="1"/>
      <c r="V18" s="1"/>
      <c r="W18" s="1"/>
      <c r="X18" s="1"/>
      <c r="Y18" s="1"/>
      <c r="Z18" s="1"/>
      <c r="AA18" s="1"/>
    </row>
    <row r="19" ht="60.0" customHeight="1">
      <c r="A19" s="24"/>
      <c r="B19" s="24"/>
      <c r="C19" s="24"/>
      <c r="D19" s="24"/>
      <c r="E19" s="24"/>
      <c r="F19" s="24"/>
      <c r="G19" s="24"/>
      <c r="H19" s="24"/>
      <c r="I19" s="24"/>
      <c r="J19" s="24"/>
      <c r="K19" s="24"/>
      <c r="L19" s="24"/>
      <c r="M19" s="24"/>
      <c r="N19" s="24"/>
      <c r="O19" s="24"/>
      <c r="P19" s="24"/>
      <c r="Q19" s="1"/>
      <c r="R19" s="1"/>
      <c r="S19" s="1"/>
      <c r="T19" s="1"/>
      <c r="U19" s="1"/>
      <c r="V19" s="1"/>
      <c r="W19" s="1"/>
      <c r="X19" s="1"/>
      <c r="Y19" s="1"/>
      <c r="Z19" s="1"/>
      <c r="AA19" s="1"/>
    </row>
    <row r="20" ht="60.0" customHeight="1">
      <c r="A20" s="24"/>
      <c r="B20" s="24"/>
      <c r="C20" s="26"/>
      <c r="D20" s="26"/>
      <c r="E20" s="26"/>
      <c r="F20" s="26"/>
      <c r="G20" s="24"/>
      <c r="H20" s="24"/>
      <c r="I20" s="24"/>
      <c r="J20" s="24"/>
      <c r="K20" s="24"/>
      <c r="L20" s="24"/>
      <c r="M20" s="24"/>
      <c r="N20" s="26"/>
      <c r="O20" s="24"/>
      <c r="P20" s="26"/>
      <c r="Q20" s="1"/>
      <c r="R20" s="1"/>
      <c r="S20" s="1"/>
      <c r="T20" s="1"/>
      <c r="U20" s="1"/>
      <c r="V20" s="1"/>
      <c r="W20" s="1"/>
      <c r="X20" s="1"/>
      <c r="Y20" s="1"/>
      <c r="Z20" s="1"/>
      <c r="AA20" s="1"/>
    </row>
    <row r="21" ht="24.0" customHeight="1">
      <c r="A21" s="29"/>
      <c r="B21" s="29"/>
      <c r="C21" s="30"/>
      <c r="D21" s="31"/>
      <c r="E21" s="32"/>
      <c r="F21" s="31"/>
      <c r="G21" s="33">
        <v>0.001</v>
      </c>
      <c r="H21" s="34">
        <f t="shared" ref="H21:I21" si="1">sum(H9:H20)</f>
        <v>8949.133517</v>
      </c>
      <c r="I21" s="34">
        <f t="shared" si="1"/>
        <v>8949133.517</v>
      </c>
      <c r="J21" s="35"/>
      <c r="K21" s="34">
        <f>sum(K9:K20)</f>
        <v>497174.0843</v>
      </c>
      <c r="L21" s="36"/>
      <c r="M21" s="36">
        <f>average(M9:M20)</f>
        <v>6.41</v>
      </c>
      <c r="N21" s="37">
        <f t="shared" ref="N21:O21" si="2">sum(N9:N20)</f>
        <v>56000</v>
      </c>
      <c r="O21" s="37">
        <f t="shared" si="2"/>
        <v>80000</v>
      </c>
      <c r="P21" s="38"/>
      <c r="Q21" s="1"/>
      <c r="R21" s="1"/>
      <c r="S21" s="1"/>
      <c r="T21" s="1"/>
      <c r="U21" s="1"/>
      <c r="V21" s="1"/>
      <c r="W21" s="1"/>
      <c r="X21" s="1"/>
      <c r="Y21" s="1"/>
      <c r="Z21" s="1"/>
      <c r="AA21" s="1"/>
    </row>
    <row r="22" ht="14.25" customHeight="1">
      <c r="A22" s="1"/>
      <c r="B22" s="39"/>
      <c r="C22" s="1"/>
      <c r="D22" s="40"/>
      <c r="E22" s="40"/>
      <c r="F22" s="40"/>
      <c r="G22" s="41"/>
      <c r="H22" s="41"/>
      <c r="I22" s="41"/>
      <c r="J22" s="40"/>
      <c r="K22" s="40"/>
      <c r="L22" s="40"/>
      <c r="M22" s="40"/>
      <c r="N22" s="42"/>
      <c r="O22" s="1"/>
      <c r="P22" s="1"/>
      <c r="Q22" s="1"/>
      <c r="R22" s="1"/>
      <c r="S22" s="1"/>
      <c r="T22" s="1"/>
      <c r="U22" s="1"/>
      <c r="V22" s="1"/>
      <c r="W22" s="1"/>
      <c r="X22" s="1"/>
      <c r="Y22" s="1"/>
      <c r="Z22" s="1"/>
      <c r="AA22" s="1"/>
    </row>
    <row r="23" ht="31.5" customHeight="1">
      <c r="A23" s="43" t="s">
        <v>34</v>
      </c>
      <c r="B23" s="44"/>
      <c r="C23" s="44"/>
      <c r="D23" s="44"/>
      <c r="E23" s="44"/>
      <c r="F23" s="44"/>
      <c r="G23" s="44"/>
      <c r="H23" s="44"/>
      <c r="I23" s="1"/>
      <c r="J23" s="1"/>
      <c r="K23" s="1"/>
      <c r="L23" s="1"/>
      <c r="M23" s="1"/>
      <c r="N23" s="1"/>
      <c r="O23" s="1"/>
      <c r="P23" s="1"/>
      <c r="Q23" s="1"/>
      <c r="R23" s="1"/>
      <c r="S23" s="1"/>
      <c r="T23" s="1"/>
      <c r="U23" s="1"/>
      <c r="V23" s="1"/>
      <c r="W23" s="1"/>
      <c r="X23" s="1"/>
      <c r="Y23" s="1"/>
      <c r="Z23" s="1"/>
      <c r="AA23" s="1"/>
    </row>
    <row r="24" ht="14.25" customHeight="1">
      <c r="A24" s="45"/>
      <c r="I24" s="1"/>
      <c r="J24" s="1"/>
      <c r="K24" s="1"/>
      <c r="L24" s="1"/>
      <c r="M24" s="1"/>
      <c r="N24" s="1"/>
      <c r="O24" s="1"/>
      <c r="P24" s="1"/>
      <c r="Q24" s="1"/>
      <c r="R24" s="1"/>
      <c r="S24" s="1"/>
      <c r="T24" s="1"/>
      <c r="U24" s="1"/>
      <c r="V24" s="1"/>
      <c r="W24" s="1"/>
      <c r="X24" s="1"/>
      <c r="Y24" s="1"/>
      <c r="Z24" s="1"/>
      <c r="AA24" s="1"/>
    </row>
    <row r="25" ht="14.25" customHeight="1">
      <c r="A25" s="1"/>
      <c r="B25" s="1"/>
      <c r="C25" s="1"/>
      <c r="D25" s="46"/>
      <c r="E25" s="1"/>
      <c r="F25" s="46"/>
      <c r="G25" s="1"/>
      <c r="H25" s="1"/>
      <c r="I25" s="1"/>
      <c r="J25" s="1"/>
      <c r="K25" s="1"/>
      <c r="L25" s="1"/>
      <c r="M25" s="1"/>
      <c r="N25" s="1"/>
      <c r="O25" s="1"/>
      <c r="P25" s="1"/>
      <c r="Q25" s="1"/>
      <c r="R25" s="1"/>
      <c r="S25" s="1"/>
      <c r="T25" s="1"/>
      <c r="U25" s="1"/>
      <c r="V25" s="1"/>
      <c r="W25" s="1"/>
      <c r="X25" s="1"/>
      <c r="Y25" s="1"/>
      <c r="Z25" s="1"/>
      <c r="AA25" s="1"/>
    </row>
    <row r="26" ht="14.25" customHeight="1">
      <c r="A26" s="1"/>
      <c r="B26" s="1"/>
      <c r="C26" s="1"/>
      <c r="D26" s="47"/>
      <c r="E26" s="1"/>
      <c r="F26" s="47"/>
      <c r="G26" s="1"/>
      <c r="H26" s="1"/>
      <c r="I26" s="1"/>
      <c r="J26" s="1"/>
      <c r="K26" s="1"/>
      <c r="L26" s="1"/>
      <c r="M26" s="1"/>
      <c r="N26" s="1"/>
      <c r="O26" s="1"/>
      <c r="P26" s="1"/>
      <c r="Q26" s="1"/>
      <c r="R26" s="1"/>
      <c r="S26" s="1"/>
      <c r="T26" s="1"/>
      <c r="U26" s="1"/>
      <c r="V26" s="1"/>
      <c r="W26" s="1"/>
      <c r="X26" s="1"/>
      <c r="Y26" s="1"/>
      <c r="Z26" s="1"/>
      <c r="AA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4.25" customHeight="1">
      <c r="A28" s="1"/>
      <c r="B28" s="1"/>
      <c r="C28" s="1"/>
      <c r="D28" s="1"/>
      <c r="E28" s="1"/>
      <c r="F28" s="1"/>
      <c r="G28" s="1"/>
      <c r="H28" s="1"/>
      <c r="I28" s="1"/>
      <c r="J28" s="1"/>
      <c r="K28" s="1"/>
      <c r="L28" s="1"/>
      <c r="M28" s="1"/>
      <c r="N28" s="1"/>
      <c r="O28" s="48"/>
      <c r="P28" s="1"/>
      <c r="Q28" s="1"/>
      <c r="R28" s="1"/>
      <c r="S28" s="1"/>
      <c r="T28" s="1"/>
      <c r="U28" s="1"/>
      <c r="V28" s="1"/>
      <c r="W28" s="1"/>
      <c r="X28" s="1"/>
      <c r="Y28" s="1"/>
      <c r="Z28" s="1"/>
      <c r="AA28" s="1"/>
    </row>
    <row r="29" ht="14.25" customHeight="1">
      <c r="A29" s="1"/>
      <c r="B29" s="1"/>
      <c r="C29" s="1"/>
      <c r="D29" s="1"/>
      <c r="E29" s="1"/>
      <c r="F29" s="1"/>
      <c r="G29" s="1"/>
      <c r="H29" s="1"/>
      <c r="I29" s="1"/>
      <c r="J29" s="1"/>
      <c r="K29" s="1"/>
      <c r="L29" s="1"/>
      <c r="M29" s="1"/>
      <c r="N29" s="1"/>
      <c r="O29" s="48"/>
      <c r="P29" s="1"/>
      <c r="Q29" s="1"/>
      <c r="R29" s="1"/>
      <c r="S29" s="1"/>
      <c r="T29" s="1"/>
      <c r="U29" s="1"/>
      <c r="V29" s="1"/>
      <c r="W29" s="1"/>
      <c r="X29" s="1"/>
      <c r="Y29" s="1"/>
      <c r="Z29" s="1"/>
      <c r="AA29" s="1"/>
    </row>
    <row r="30" ht="14.25" customHeight="1">
      <c r="A30" s="49"/>
      <c r="B30" s="1"/>
      <c r="C30" s="49"/>
      <c r="D30" s="1"/>
      <c r="E30" s="1"/>
      <c r="F30" s="1"/>
      <c r="G30" s="1"/>
      <c r="H30" s="1"/>
      <c r="I30" s="1"/>
      <c r="J30" s="1"/>
      <c r="K30" s="1"/>
      <c r="L30" s="1"/>
      <c r="M30" s="1"/>
      <c r="N30" s="1"/>
      <c r="O30" s="1"/>
      <c r="P30" s="1"/>
      <c r="Q30" s="1"/>
      <c r="R30" s="1"/>
      <c r="S30" s="1"/>
      <c r="T30" s="1"/>
      <c r="U30" s="1"/>
      <c r="V30" s="1"/>
      <c r="W30" s="1"/>
      <c r="X30" s="1"/>
      <c r="Y30" s="1"/>
      <c r="Z30" s="1"/>
      <c r="AA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4.25" customHeight="1">
      <c r="A38" s="49"/>
      <c r="B38" s="1"/>
      <c r="C38" s="49"/>
      <c r="D38" s="1"/>
      <c r="E38" s="1"/>
      <c r="F38" s="1"/>
      <c r="G38" s="1"/>
      <c r="H38" s="1"/>
      <c r="I38" s="1"/>
      <c r="J38" s="1"/>
      <c r="K38" s="1"/>
      <c r="L38" s="1"/>
      <c r="M38" s="1"/>
      <c r="N38" s="1"/>
      <c r="O38" s="1"/>
      <c r="P38" s="1"/>
      <c r="Q38" s="1"/>
      <c r="R38" s="1"/>
      <c r="S38" s="1"/>
      <c r="T38" s="1"/>
      <c r="U38" s="1"/>
      <c r="V38" s="1"/>
      <c r="W38" s="1"/>
      <c r="X38" s="1"/>
      <c r="Y38" s="1"/>
      <c r="Z38" s="1"/>
      <c r="AA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4.25" customHeight="1">
      <c r="A46" s="49"/>
      <c r="B46" s="1"/>
      <c r="C46" s="49"/>
      <c r="D46" s="1"/>
      <c r="E46" s="1"/>
      <c r="F46" s="1"/>
      <c r="G46" s="1"/>
      <c r="H46" s="1"/>
      <c r="I46" s="1"/>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4.25" customHeight="1">
      <c r="A54" s="49"/>
      <c r="B54" s="1"/>
      <c r="C54" s="49"/>
      <c r="D54" s="1"/>
      <c r="E54" s="1"/>
      <c r="F54" s="1"/>
      <c r="G54" s="1"/>
      <c r="H54" s="1"/>
      <c r="I54" s="1"/>
      <c r="J54" s="1"/>
      <c r="K54" s="1"/>
      <c r="L54" s="1"/>
      <c r="M54" s="1"/>
      <c r="N54" s="1"/>
      <c r="O54" s="1"/>
      <c r="P54" s="1"/>
      <c r="Q54" s="1"/>
      <c r="R54" s="1"/>
      <c r="S54" s="1"/>
      <c r="T54" s="1"/>
      <c r="U54" s="1"/>
      <c r="V54" s="1"/>
      <c r="W54" s="1"/>
      <c r="X54" s="1"/>
      <c r="Y54" s="1"/>
      <c r="Z54" s="1"/>
      <c r="AA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4.25" customHeight="1">
      <c r="A70" s="1"/>
      <c r="B70" s="1"/>
      <c r="C70" s="1"/>
      <c r="D70" s="1"/>
      <c r="E70" s="1"/>
      <c r="F70" s="1"/>
      <c r="G70" s="1"/>
      <c r="H70" s="1"/>
      <c r="I70" s="1"/>
      <c r="J70" s="1"/>
      <c r="K70" s="50"/>
      <c r="L70" s="50"/>
      <c r="M70" s="50"/>
      <c r="N70" s="50"/>
      <c r="O70" s="50"/>
      <c r="P70" s="50"/>
      <c r="Q70" s="50"/>
      <c r="R70" s="50"/>
      <c r="S70" s="50"/>
      <c r="T70" s="50"/>
      <c r="U70" s="50"/>
      <c r="V70" s="50"/>
      <c r="W70" s="50"/>
      <c r="X70" s="50"/>
      <c r="Y70" s="50"/>
      <c r="Z70" s="50"/>
      <c r="AA70" s="50"/>
    </row>
    <row r="71" ht="14.2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4.2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4.2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4.2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4.2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4.2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4.2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4.2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4.2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4.2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4.2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4.2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4.2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4.2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4.2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4.2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4.2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4.2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4.2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4.2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4.2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4.2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4.2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4.2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4.2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4.2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4.2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4.2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4.2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4.2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4.2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4.2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4.2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4.2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4.2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4.2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4.2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4.2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4.2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4.2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4.2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4.2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4.2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4.2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4.2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4.2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4.2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4.2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4.2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4.2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4.2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4.2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4.2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4.2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4.2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4.2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4.2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4.2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4.2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4.2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4.2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4.2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4.2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4.2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4.2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4.2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4.2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4.2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4.2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4.2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4.2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4.2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4.2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4.2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4.2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4.2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4.2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4.2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4.2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4.2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4.2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4.2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4.2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4.2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4.2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4.2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4.2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4.2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4.2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4.2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4.2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4.2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4.2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4.2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4.2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4.2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4.2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4.2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4.2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4.2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4.2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4.2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4.2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4.2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4.2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4.2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4.2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4.2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4.2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4.2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4.2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4.2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4.2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4.2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4.2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4.2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4.2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4.2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4.2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4.2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4.2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4.2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4.2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4.2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4.2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4.2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4.2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4.2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4.2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4.2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4.2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4.2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4.2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4.2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4.2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4.2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4.2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4.2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4.2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4.2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4.2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4.2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4.2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4.2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4.2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4.2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4.2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4.2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14.2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14.2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ht="14.2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ht="14.2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ht="14.2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1">
    <mergeCell ref="N13:N16"/>
    <mergeCell ref="O13:O16"/>
    <mergeCell ref="I9:I12"/>
    <mergeCell ref="J9:J12"/>
    <mergeCell ref="L9:L12"/>
    <mergeCell ref="M9:M12"/>
    <mergeCell ref="N9:N12"/>
    <mergeCell ref="O9:O12"/>
    <mergeCell ref="E13:E16"/>
    <mergeCell ref="G13:G16"/>
    <mergeCell ref="G17:G20"/>
    <mergeCell ref="H17:H20"/>
    <mergeCell ref="I17:I20"/>
    <mergeCell ref="J17:J20"/>
    <mergeCell ref="E9:E12"/>
    <mergeCell ref="E17:E20"/>
    <mergeCell ref="F2:K4"/>
    <mergeCell ref="H13:H16"/>
    <mergeCell ref="A9:A20"/>
    <mergeCell ref="B9:B20"/>
    <mergeCell ref="K17:K20"/>
    <mergeCell ref="F9:F20"/>
    <mergeCell ref="A23:H24"/>
    <mergeCell ref="G9:G12"/>
    <mergeCell ref="H9:H12"/>
    <mergeCell ref="D9:D12"/>
    <mergeCell ref="D13:D16"/>
    <mergeCell ref="I13:I16"/>
    <mergeCell ref="J13:J16"/>
    <mergeCell ref="K9:K12"/>
    <mergeCell ref="K13:K16"/>
    <mergeCell ref="L13:L16"/>
    <mergeCell ref="M13:M16"/>
    <mergeCell ref="N17:N20"/>
    <mergeCell ref="O17:O20"/>
    <mergeCell ref="L17:L20"/>
    <mergeCell ref="M17:M20"/>
    <mergeCell ref="P9:P20"/>
    <mergeCell ref="C9:C16"/>
    <mergeCell ref="C17:C20"/>
    <mergeCell ref="D17:D2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2025-06-02T14:13:59Z</dcterms:created>
</cp:coreProperties>
</file>