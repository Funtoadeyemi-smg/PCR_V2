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funto.adeyemi/Documents/Media PCR/PCR test/"/>
    </mc:Choice>
  </mc:AlternateContent>
  <xr:revisionPtr revIDLastSave="0" documentId="13_ncr:1_{35E5F438-43C5-ED46-9EA6-07D9E7ED7F3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  <sheet name="Pivot Table 1" sheetId="2" r:id="rId2"/>
    <sheet name="1_Perf" sheetId="3" r:id="rId3"/>
    <sheet name="1_Conv" sheetId="4" r:id="rId4"/>
    <sheet name="2_Perf" sheetId="5" r:id="rId5"/>
    <sheet name="2_Conv" sheetId="6" r:id="rId6"/>
  </sheets>
  <definedNames>
    <definedName name="_xlnm._FilterDatabase" localSheetId="1" hidden="1">'Pivot Table 1'!$A$67:$K$79</definedName>
  </definedNames>
  <calcPr calcId="191029"/>
  <pivotCaches>
    <pivotCache cacheId="2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jrrW8h//P3uXdSuyw6bCNx2n2RbG4j0UI5S24UiaH1s="/>
    </ext>
  </extLst>
</workbook>
</file>

<file path=xl/calcChain.xml><?xml version="1.0" encoding="utf-8"?>
<calcChain xmlns="http://schemas.openxmlformats.org/spreadsheetml/2006/main">
  <c r="L79" i="2" l="1"/>
  <c r="L78" i="2"/>
  <c r="L77" i="2"/>
  <c r="L76" i="2"/>
  <c r="L75" i="2"/>
  <c r="L74" i="2"/>
  <c r="L73" i="2"/>
  <c r="L72" i="2"/>
  <c r="L71" i="2"/>
  <c r="L70" i="2"/>
  <c r="L69" i="2"/>
  <c r="L68" i="2"/>
  <c r="C64" i="2"/>
  <c r="B64" i="2"/>
  <c r="M63" i="2"/>
  <c r="L63" i="2"/>
  <c r="I63" i="2"/>
  <c r="F63" i="2"/>
  <c r="D63" i="2"/>
  <c r="C63" i="2"/>
  <c r="E63" i="2" s="1"/>
  <c r="B63" i="2"/>
  <c r="H63" i="2" s="1"/>
  <c r="A63" i="2"/>
  <c r="M62" i="2"/>
  <c r="L62" i="2"/>
  <c r="I62" i="2"/>
  <c r="F62" i="2"/>
  <c r="D62" i="2"/>
  <c r="C62" i="2"/>
  <c r="E62" i="2" s="1"/>
  <c r="B62" i="2"/>
  <c r="H62" i="2" s="1"/>
  <c r="A62" i="2"/>
  <c r="M61" i="2"/>
  <c r="L61" i="2"/>
  <c r="I61" i="2"/>
  <c r="J61" i="2" s="1"/>
  <c r="F61" i="2"/>
  <c r="D61" i="2"/>
  <c r="C61" i="2"/>
  <c r="E61" i="2" s="1"/>
  <c r="B61" i="2"/>
  <c r="A61" i="2"/>
  <c r="M60" i="2"/>
  <c r="L60" i="2"/>
  <c r="I60" i="2"/>
  <c r="F60" i="2"/>
  <c r="D60" i="2"/>
  <c r="C60" i="2"/>
  <c r="E60" i="2" s="1"/>
  <c r="B60" i="2"/>
  <c r="H60" i="2" s="1"/>
  <c r="A60" i="2"/>
  <c r="M59" i="2"/>
  <c r="K59" i="2" s="1"/>
  <c r="L59" i="2"/>
  <c r="I59" i="2"/>
  <c r="F59" i="2"/>
  <c r="D59" i="2"/>
  <c r="C59" i="2"/>
  <c r="G59" i="2" s="1"/>
  <c r="B59" i="2"/>
  <c r="J59" i="2" s="1"/>
  <c r="A59" i="2"/>
  <c r="M58" i="2"/>
  <c r="L58" i="2"/>
  <c r="K58" i="2" s="1"/>
  <c r="I58" i="2"/>
  <c r="J58" i="2" s="1"/>
  <c r="F58" i="2"/>
  <c r="G58" i="2" s="1"/>
  <c r="E58" i="2"/>
  <c r="D58" i="2"/>
  <c r="C58" i="2"/>
  <c r="B58" i="2"/>
  <c r="H58" i="2" s="1"/>
  <c r="A58" i="2"/>
  <c r="M57" i="2"/>
  <c r="L57" i="2"/>
  <c r="I57" i="2"/>
  <c r="F57" i="2"/>
  <c r="D57" i="2"/>
  <c r="C57" i="2"/>
  <c r="E57" i="2" s="1"/>
  <c r="B57" i="2"/>
  <c r="H57" i="2" s="1"/>
  <c r="A57" i="2"/>
  <c r="M56" i="2"/>
  <c r="L56" i="2"/>
  <c r="I56" i="2"/>
  <c r="F56" i="2"/>
  <c r="D56" i="2"/>
  <c r="C56" i="2"/>
  <c r="E56" i="2" s="1"/>
  <c r="B56" i="2"/>
  <c r="H56" i="2" s="1"/>
  <c r="A56" i="2"/>
  <c r="M55" i="2"/>
  <c r="L55" i="2"/>
  <c r="I55" i="2"/>
  <c r="F55" i="2"/>
  <c r="G55" i="2" s="1"/>
  <c r="D55" i="2"/>
  <c r="C55" i="2"/>
  <c r="E55" i="2" s="1"/>
  <c r="B55" i="2"/>
  <c r="J55" i="2" s="1"/>
  <c r="A55" i="2"/>
  <c r="M54" i="2"/>
  <c r="L54" i="2"/>
  <c r="K54" i="2"/>
  <c r="I54" i="2"/>
  <c r="J54" i="2" s="1"/>
  <c r="F54" i="2"/>
  <c r="D54" i="2"/>
  <c r="C54" i="2"/>
  <c r="E54" i="2" s="1"/>
  <c r="B54" i="2"/>
  <c r="H54" i="2" s="1"/>
  <c r="A54" i="2"/>
  <c r="M53" i="2"/>
  <c r="L53" i="2"/>
  <c r="I53" i="2"/>
  <c r="J53" i="2" s="1"/>
  <c r="H53" i="2"/>
  <c r="G53" i="2"/>
  <c r="F53" i="2"/>
  <c r="D53" i="2"/>
  <c r="C53" i="2"/>
  <c r="E53" i="2" s="1"/>
  <c r="B53" i="2"/>
  <c r="A53" i="2"/>
  <c r="M52" i="2"/>
  <c r="L52" i="2"/>
  <c r="I52" i="2"/>
  <c r="J52" i="2" s="1"/>
  <c r="H52" i="2"/>
  <c r="F52" i="2"/>
  <c r="G52" i="2" s="1"/>
  <c r="D52" i="2"/>
  <c r="C52" i="2"/>
  <c r="B52" i="2"/>
  <c r="A52" i="2"/>
  <c r="M51" i="2"/>
  <c r="L51" i="2"/>
  <c r="K51" i="2"/>
  <c r="I51" i="2"/>
  <c r="J51" i="2" s="1"/>
  <c r="H51" i="2"/>
  <c r="F51" i="2"/>
  <c r="G51" i="2" s="1"/>
  <c r="E51" i="2"/>
  <c r="D51" i="2"/>
  <c r="C51" i="2"/>
  <c r="B51" i="2"/>
  <c r="A51" i="2"/>
  <c r="E27" i="2"/>
  <c r="C27" i="2"/>
  <c r="F27" i="2" s="1"/>
  <c r="B27" i="2"/>
  <c r="A27" i="2"/>
  <c r="C26" i="2"/>
  <c r="D26" i="2" s="1"/>
  <c r="B26" i="2"/>
  <c r="A26" i="2"/>
  <c r="C25" i="2"/>
  <c r="D25" i="2" s="1"/>
  <c r="B25" i="2"/>
  <c r="A25" i="2"/>
  <c r="C24" i="2"/>
  <c r="B24" i="2"/>
  <c r="A24" i="2"/>
  <c r="F14" i="2"/>
  <c r="C14" i="2"/>
  <c r="E14" i="2" s="1"/>
  <c r="B14" i="2"/>
  <c r="A14" i="2"/>
  <c r="C13" i="2"/>
  <c r="D13" i="2" s="1"/>
  <c r="B13" i="2"/>
  <c r="A13" i="2"/>
  <c r="D12" i="2"/>
  <c r="C12" i="2"/>
  <c r="B12" i="2"/>
  <c r="A12" i="2"/>
  <c r="C11" i="2"/>
  <c r="B11" i="2"/>
  <c r="A11" i="2"/>
  <c r="O25" i="1"/>
  <c r="M25" i="1"/>
  <c r="L25" i="1" s="1"/>
  <c r="O24" i="1"/>
  <c r="M24" i="1"/>
  <c r="L24" i="1" s="1"/>
  <c r="O23" i="1"/>
  <c r="M23" i="1"/>
  <c r="L23" i="1" s="1"/>
  <c r="O22" i="1"/>
  <c r="M22" i="1"/>
  <c r="L22" i="1" s="1"/>
  <c r="O21" i="1"/>
  <c r="M21" i="1"/>
  <c r="L21" i="1" s="1"/>
  <c r="O20" i="1"/>
  <c r="M20" i="1"/>
  <c r="L20" i="1" s="1"/>
  <c r="O19" i="1"/>
  <c r="M19" i="1"/>
  <c r="L19" i="1" s="1"/>
  <c r="O18" i="1"/>
  <c r="M18" i="1"/>
  <c r="L18" i="1" s="1"/>
  <c r="O17" i="1"/>
  <c r="M17" i="1"/>
  <c r="L17" i="1" s="1"/>
  <c r="O16" i="1"/>
  <c r="M16" i="1"/>
  <c r="L16" i="1" s="1"/>
  <c r="O15" i="1"/>
  <c r="M15" i="1"/>
  <c r="L15" i="1" s="1"/>
  <c r="O14" i="1"/>
  <c r="M14" i="1"/>
  <c r="L14" i="1" s="1"/>
  <c r="O13" i="1"/>
  <c r="M13" i="1"/>
  <c r="L13" i="1" s="1"/>
  <c r="O12" i="1"/>
  <c r="M12" i="1"/>
  <c r="L12" i="1" s="1"/>
  <c r="O11" i="1"/>
  <c r="M11" i="1"/>
  <c r="L11" i="1" s="1"/>
  <c r="O10" i="1"/>
  <c r="M10" i="1"/>
  <c r="L10" i="1" s="1"/>
  <c r="O9" i="1"/>
  <c r="M9" i="1"/>
  <c r="L9" i="1" s="1"/>
  <c r="O8" i="1"/>
  <c r="M8" i="1"/>
  <c r="L8" i="1" s="1"/>
  <c r="O7" i="1"/>
  <c r="M7" i="1"/>
  <c r="L7" i="1" s="1"/>
  <c r="O6" i="1"/>
  <c r="M6" i="1"/>
  <c r="L6" i="1" s="1"/>
  <c r="O5" i="1"/>
  <c r="M5" i="1"/>
  <c r="L5" i="1" s="1"/>
  <c r="O4" i="1"/>
  <c r="M4" i="1"/>
  <c r="L4" i="1" s="1"/>
  <c r="O3" i="1"/>
  <c r="M3" i="1"/>
  <c r="L3" i="1" s="1"/>
  <c r="O2" i="1"/>
  <c r="M2" i="1"/>
  <c r="L2" i="1" s="1"/>
  <c r="K55" i="2" l="1"/>
  <c r="G57" i="2"/>
  <c r="K52" i="2"/>
  <c r="G60" i="2"/>
  <c r="G63" i="2"/>
  <c r="J57" i="2"/>
  <c r="G61" i="2"/>
  <c r="G56" i="2"/>
  <c r="J60" i="2"/>
  <c r="J63" i="2"/>
  <c r="K53" i="2"/>
  <c r="J56" i="2"/>
  <c r="K63" i="2"/>
  <c r="G54" i="2"/>
  <c r="H55" i="2"/>
  <c r="K56" i="2"/>
  <c r="G62" i="2"/>
  <c r="E52" i="2"/>
  <c r="H61" i="2"/>
  <c r="J62" i="2"/>
  <c r="E59" i="2"/>
  <c r="H59" i="2"/>
</calcChain>
</file>

<file path=xl/sharedStrings.xml><?xml version="1.0" encoding="utf-8"?>
<sst xmlns="http://schemas.openxmlformats.org/spreadsheetml/2006/main" count="12000" uniqueCount="107">
  <si>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</si>
  <si>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</si>
  <si>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</si>
  <si>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</si>
  <si>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</si>
  <si>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</si>
  <si>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</si>
  <si>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</si>
  <si>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</si>
  <si>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</si>
  <si>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</si>
  <si>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Net_Spend - 30799.12</t>
  </si>
  <si>
    <t>(don't use this) Gross_Spend - 43,997</t>
  </si>
  <si>
    <t>(don't use this) Net_Spend -30,797.9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</si>
  <si>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</si>
  <si>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</si>
  <si>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</si>
  <si>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</si>
  <si>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</si>
  <si>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</si>
  <si>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</si>
  <si>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</si>
  <si>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</si>
  <si>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</si>
  <si>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</si>
  <si>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</si>
  <si>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</si>
  <si>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</si>
  <si>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Issey Miyake - pcr - online sales  - raw.xlsx</t>
  </si>
  <si>
    <t xml:space="preserve">Issey Miyake </t>
  </si>
  <si>
    <t>Plan 2</t>
  </si>
  <si>
    <t>Meta</t>
  </si>
  <si>
    <t>Issey Miyake</t>
  </si>
  <si>
    <t>Online Sales</t>
  </si>
  <si>
    <t>Current Female Fragrance Shoppers</t>
  </si>
  <si>
    <t>Ad 1 | Exclusive Gift</t>
  </si>
  <si>
    <t>Current Issey Miyake Shoppers</t>
  </si>
  <si>
    <t>Current Male Fragrance Shoppers</t>
  </si>
  <si>
    <t>Female Competitor Shoppers</t>
  </si>
  <si>
    <t>Female fine fragrance propensity model</t>
  </si>
  <si>
    <t>Female premium cosmetics propensity model</t>
  </si>
  <si>
    <t>Female premium gift shoppers</t>
  </si>
  <si>
    <t>Lapsed Issey Miyake Shoppers</t>
  </si>
  <si>
    <t>Male Competitor Shoppers</t>
  </si>
  <si>
    <t>Male fine fragrance propensity model</t>
  </si>
  <si>
    <t>Male premium cosmetics propensity model</t>
  </si>
  <si>
    <t>Male premium gift shoppers</t>
  </si>
  <si>
    <t>Issey Miyake - pcr - reach - raw.xlsx</t>
  </si>
  <si>
    <t xml:space="preserve">Plan 1 </t>
  </si>
  <si>
    <t>SUM of Gross_Spend - 43,998.74</t>
  </si>
  <si>
    <t>SUM of Net_Spend - 30799.12</t>
  </si>
  <si>
    <t>SUM of Brand_Revenue</t>
  </si>
  <si>
    <t>SUM of Brand_Units</t>
  </si>
  <si>
    <t>SUM of SKU_Revenue</t>
  </si>
  <si>
    <t>SUM of SKU_Units</t>
  </si>
  <si>
    <t xml:space="preserve">Conv 1 </t>
  </si>
  <si>
    <t xml:space="preserve">Conv 2 </t>
  </si>
  <si>
    <t>Type</t>
  </si>
  <si>
    <t>SUM of Units</t>
  </si>
  <si>
    <t>SUM of Sales</t>
  </si>
  <si>
    <t>offline</t>
  </si>
  <si>
    <t>online</t>
  </si>
  <si>
    <t>Grand Total</t>
  </si>
  <si>
    <t xml:space="preserve">Total  - brand </t>
  </si>
  <si>
    <t>%</t>
  </si>
  <si>
    <t>ROAS</t>
  </si>
  <si>
    <t>ROI</t>
  </si>
  <si>
    <t xml:space="preserve">Total  - sku </t>
  </si>
  <si>
    <t>SUM of Impressions</t>
  </si>
  <si>
    <t>SUM of Clicks</t>
  </si>
  <si>
    <t xml:space="preserve">Reach </t>
  </si>
  <si>
    <t>Audience Segment</t>
  </si>
  <si>
    <t>Net Spend</t>
  </si>
  <si>
    <t>Frequency</t>
  </si>
  <si>
    <t>Net CPM</t>
  </si>
  <si>
    <t>Brand
Revenue</t>
  </si>
  <si>
    <t>Brand ROAS</t>
  </si>
  <si>
    <t xml:space="preserve">Gross CPA </t>
  </si>
  <si>
    <t xml:space="preserve">units </t>
  </si>
  <si>
    <t xml:space="preserve">gross </t>
  </si>
  <si>
    <t>-</t>
  </si>
  <si>
    <t>Gross_Spend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</si>
  <si>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</si>
  <si>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</si>
  <si>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</si>
  <si>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</si>
  <si>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</si>
  <si>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</si>
  <si>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</si>
  <si>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</si>
  <si>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</si>
  <si>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</si>
  <si>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</si>
  <si>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</si>
  <si>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</si>
  <si>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</si>
  <si>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</si>
  <si>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Issey Miyake Le Sel d'Issey EDT 50ml OFFLINE</t>
  </si>
  <si>
    <t>Issey Miyake Le Sel d'Issey EDT 100ml ONLINE</t>
  </si>
  <si>
    <t>Issey Miyake Le Sel d'Issey EDT 100ml OFFLINE</t>
  </si>
  <si>
    <t>Issey Miyake Le Sel d'Issey EDT 50ml ONLINE</t>
  </si>
  <si>
    <t>Le Sel d'Issey EDT Fragrance Set for Men OFFLINE</t>
  </si>
  <si>
    <t>Le Sel d'Issey EDT Fragrance Set for Men ONLINE</t>
  </si>
  <si>
    <t>Issey Miyake - online</t>
  </si>
  <si>
    <t>BRAND</t>
  </si>
  <si>
    <t>Issey Miyake - offline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</si>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</sst>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0.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Poppins"/>
    </font>
    <font>
      <sz val="11"/>
      <color theme="1"/>
      <name val="Poppin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  <xf numFmtId="0" fontId="6" fillId="0" borderId="0" xfId="0" applyFont="1"/>
    <xf numFmtId="164" fontId="4" fillId="0" borderId="0" xfId="0" applyNumberFormat="1" applyFont="1"/>
    <xf numFmtId="0" fontId="7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10" fontId="4" fillId="0" borderId="1" xfId="0" applyNumberFormat="1" applyFont="1" applyBorder="1"/>
    <xf numFmtId="3" fontId="4" fillId="0" borderId="0" xfId="0" applyNumberFormat="1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4" fillId="0" borderId="0" xfId="0" applyNumberFormat="1" applyFont="1"/>
    <xf numFmtId="10" fontId="4" fillId="0" borderId="0" xfId="0" applyNumberFormat="1" applyFont="1"/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0" xfId="0" applyNumberFormat="1"/>
    <xf numFmtId="0" fontId="0" fillId="0" borderId="15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unto Adeyemi" refreshedDate="45791.622098495369" refreshedVersion="8" recordCount="999" xr:uid="{00000000-000A-0000-FFFF-FFFF00000000}">
  <cacheSource type="worksheet">
    <worksheetSource ref="A1:AC1000" sheet="Sheet1"/>
  </cacheSource>
  <cacheFields count="29">
    <cacheField name="level_0" numFmtId="0">
      <sharedItems containsBlank="1"/>
    </cacheField>
    <cacheField name="A360_Campaign" numFmtId="0">
      <sharedItems containsBlank="1"/>
    </cacheField>
    <cacheField name="Plan_Name" numFmtId="0">
      <sharedItems containsBlank="1"/>
    </cacheField>
    <cacheField name="Channel" numFmtId="0">
      <sharedItems containsBlank="1"/>
    </cacheField>
    <cacheField name="Brand" numFmtId="0">
      <sharedItems containsBlank="1"/>
    </cacheField>
    <cacheField name="Campaign_Object" numFmtId="0">
      <sharedItems containsNonDate="0" containsString="0" containsBlank="1"/>
    </cacheField>
    <cacheField name="Total_Gross_Budget" numFmtId="0">
      <sharedItems containsNonDate="0" containsString="0" containsBlank="1"/>
    </cacheField>
    <cacheField name="Campaign_Optimisation_Activity" numFmtId="0">
      <sharedItems containsBlank="1"/>
    </cacheField>
    <cacheField name="Ad_Set_Name" numFmtId="0">
      <sharedItems containsBlank="1" count="13">
        <s v="Current Female Fragrance Shoppers"/>
        <s v="Current Issey Miyake Shoppers"/>
        <s v="Current Male Fragrance Shoppers"/>
        <s v="Female Competitor Shoppers"/>
        <s v="Female fine fragrance propensity model"/>
        <s v="Female premium cosmetics propensity model"/>
        <s v="Female premium gift shoppers"/>
        <s v="Lapsed Issey Miyake Shoppers"/>
        <s v="Male Competitor Shoppers"/>
        <s v="Male fine fragrance propensity model"/>
        <s v="Male premium cosmetics propensity model"/>
        <s v="Male premium gift shoppers"/>
        <m/>
      </sharedItems>
    </cacheField>
    <cacheField name="Ad" numFmtId="0">
      <sharedItems containsBlank="1"/>
    </cacheField>
    <cacheField name="Audience_Size" numFmtId="0">
      <sharedItems containsNonDate="0" containsString="0" containsBlank="1"/>
    </cacheField>
    <cacheField name="Gross_Spend - 43,998.74" numFmtId="164">
      <sharedItems containsString="0" containsBlank="1" containsNumber="1" minValue="20.000792261810062" maxValue="8571.3395237987006"/>
    </cacheField>
    <cacheField name="Net_Spend - 30799.12" numFmtId="164">
      <sharedItems containsString="0" containsBlank="1" containsNumber="1" minValue="14.000554583267043" maxValue="5999.9376666590906"/>
    </cacheField>
    <cacheField name="(don't use this) Gross_Spend - 43,997" numFmtId="0">
      <sharedItems containsString="0" containsBlank="1" containsNumber="1" containsInteger="1" minValue="20" maxValue="8571"/>
    </cacheField>
    <cacheField name="(don't use this) Net_Spend -30,797.9" numFmtId="0">
      <sharedItems containsString="0" containsBlank="1" containsNumber="1" minValue="14" maxValue="5999.7"/>
    </cacheField>
    <cacheField name="Impressions" numFmtId="0">
      <sharedItems containsString="0" containsBlank="1" containsNumber="1" containsInteger="1" minValue="1791" maxValue="1287098"/>
    </cacheField>
    <cacheField name="Clicks" numFmtId="0">
      <sharedItems containsString="0" containsBlank="1" containsNumber="1" containsInteger="1" minValue="12" maxValue="2352"/>
    </cacheField>
    <cacheField name="Reach" numFmtId="0">
      <sharedItems containsString="0" containsBlank="1" containsNumber="1" containsInteger="1" minValue="514" maxValue="719047"/>
    </cacheField>
    <cacheField name="Ad_Set_Reach" numFmtId="0">
      <sharedItems containsString="0" containsBlank="1" containsNumber="1" containsInteger="1" minValue="514" maxValue="719047"/>
    </cacheField>
    <cacheField name="CTR" numFmtId="0">
      <sharedItems containsString="0" containsBlank="1" containsNumber="1" minValue="0.1" maxValue="0.67"/>
    </cacheField>
    <cacheField name="CPM" numFmtId="0">
      <sharedItems containsString="0" containsBlank="1" containsNumber="1" minValue="2.56" maxValue="26.1"/>
    </cacheField>
    <cacheField name="Brand_Revenue" numFmtId="0">
      <sharedItems containsString="0" containsBlank="1" containsNumber="1" minValue="0" maxValue="3916.92"/>
    </cacheField>
    <cacheField name="Brand_Units" numFmtId="0">
      <sharedItems containsString="0" containsBlank="1" containsNumber="1" containsInteger="1" minValue="0" maxValue="87"/>
    </cacheField>
    <cacheField name="Brand_Online_Revenue" numFmtId="0">
      <sharedItems containsString="0" containsBlank="1" containsNumber="1" minValue="0" maxValue="2396.5700000000002"/>
    </cacheField>
    <cacheField name="Brand_Instore_Revenue" numFmtId="0">
      <sharedItems containsString="0" containsBlank="1" containsNumber="1" minValue="0" maxValue="1520.35"/>
    </cacheField>
    <cacheField name="SKU_Revenue" numFmtId="0">
      <sharedItems containsString="0" containsBlank="1" containsNumber="1" minValue="0" maxValue="744.37"/>
    </cacheField>
    <cacheField name="SKU_Units" numFmtId="0">
      <sharedItems containsString="0" containsBlank="1" containsNumber="1" containsInteger="1" minValue="0" maxValue="8"/>
    </cacheField>
    <cacheField name="SKU_Online_Revenue" numFmtId="0">
      <sharedItems containsNonDate="0" containsString="0" containsBlank="1"/>
    </cacheField>
    <cacheField name="SKU_Instore_Revenu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Issey Miyake - pcr - online sales  - raw.xlsx"/>
    <s v="Issey Miyake "/>
    <s v="Plan 2"/>
    <s v="Meta"/>
    <s v="Issey Miyake"/>
    <m/>
    <m/>
    <s v="Online Sales"/>
    <x v="0"/>
    <s v="Ad 1 | Exclusive Gift"/>
    <m/>
    <n v="5714.2263491991334"/>
    <n v="3999.9584444393931"/>
    <n v="5714"/>
    <n v="3999.7999999999997"/>
    <n v="649111"/>
    <n v="2146"/>
    <n v="93284"/>
    <n v="93284"/>
    <n v="0.33"/>
    <n v="8.8000000000000007"/>
    <n v="871.40000000000009"/>
    <n v="21"/>
    <n v="536.42000000000007"/>
    <n v="334.98"/>
    <n v="108"/>
    <n v="2"/>
    <m/>
    <m/>
  </r>
  <r>
    <s v="Issey Miyake - pcr - online sales  - raw.xlsx"/>
    <s v="Issey Miyake "/>
    <s v="Plan 2"/>
    <s v="Meta"/>
    <s v="Issey Miyake"/>
    <m/>
    <m/>
    <s v="Online Sales"/>
    <x v="1"/>
    <s v="Ad 1 | Exclusive Gift"/>
    <m/>
    <n v="3211.1271976336047"/>
    <n v="2247.7890383435233"/>
    <n v="3211"/>
    <n v="2247.6999999999998"/>
    <n v="217976"/>
    <n v="884"/>
    <n v="7453"/>
    <n v="7453"/>
    <n v="0.41"/>
    <n v="14.73"/>
    <n v="3278.42"/>
    <n v="70"/>
    <n v="2207.4699999999998"/>
    <n v="1070.95"/>
    <n v="744.37"/>
    <n v="8"/>
    <m/>
    <m/>
  </r>
  <r>
    <s v="Issey Miyake - pcr - online sales  - raw.xlsx"/>
    <s v="Issey Miyake "/>
    <s v="Plan 2"/>
    <s v="Meta"/>
    <s v="Issey Miyake"/>
    <m/>
    <m/>
    <s v="Online Sales"/>
    <x v="2"/>
    <s v="Ad 1 | Exclusive Gift"/>
    <m/>
    <n v="4285.1697420928049"/>
    <n v="2999.6188194649635"/>
    <n v="4285"/>
    <n v="2999.5"/>
    <n v="486087"/>
    <n v="1615"/>
    <n v="64889"/>
    <n v="64889"/>
    <n v="0.33"/>
    <n v="8.82"/>
    <n v="631.45000000000005"/>
    <n v="14"/>
    <n v="429.95"/>
    <n v="201.5"/>
    <n v="124.75"/>
    <n v="2"/>
    <m/>
    <m/>
  </r>
  <r>
    <s v="Issey Miyake - pcr - online sales  - raw.xlsx"/>
    <s v="Issey Miyake "/>
    <s v="Plan 2"/>
    <s v="Meta"/>
    <s v="Issey Miyake"/>
    <m/>
    <m/>
    <s v="Online Sales"/>
    <x v="3"/>
    <s v="Ad 1 | Exclusive Gift"/>
    <m/>
    <n v="165.00653615993301"/>
    <n v="115.50457531195309"/>
    <n v="165"/>
    <n v="115.49999999999999"/>
    <n v="15464"/>
    <n v="68"/>
    <n v="4622"/>
    <n v="4622"/>
    <n v="0.44"/>
    <n v="10.67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4"/>
    <s v="Ad 1 | Exclusive Gift"/>
    <m/>
    <n v="592.02345094957775"/>
    <n v="414.4164156647044"/>
    <n v="592"/>
    <n v="414.4"/>
    <n v="59998"/>
    <n v="267"/>
    <n v="14493"/>
    <n v="14493"/>
    <n v="0.45"/>
    <n v="9.8699999999999992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5"/>
    <s v="Ad 1 | Exclusive Gift"/>
    <m/>
    <n v="561.02222294377214"/>
    <n v="392.71555606064049"/>
    <n v="561"/>
    <n v="392.7"/>
    <n v="56771"/>
    <n v="245"/>
    <n v="15559"/>
    <n v="15559"/>
    <n v="0.43"/>
    <n v="9.8800000000000008"/>
    <n v="55.2"/>
    <n v="1"/>
    <n v="55.2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6"/>
    <s v="Ad 1 | Exclusive Gift"/>
    <m/>
    <n v="466.01845970017439"/>
    <n v="326.21292179012204"/>
    <n v="466"/>
    <n v="326.2"/>
    <n v="39318"/>
    <n v="193"/>
    <n v="10221"/>
    <n v="10221"/>
    <n v="0.49"/>
    <n v="11.85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7"/>
    <s v="Ad 1 | Exclusive Gift"/>
    <m/>
    <n v="2428.096180583741"/>
    <n v="1699.6673264086187"/>
    <n v="2428"/>
    <n v="1699.6"/>
    <n v="172808"/>
    <n v="687"/>
    <n v="5415"/>
    <n v="5415"/>
    <n v="0.4"/>
    <n v="14.05"/>
    <n v="1691.49"/>
    <n v="38"/>
    <n v="733.57"/>
    <n v="957.92000000000007"/>
    <n v="75.75"/>
    <n v="1"/>
    <m/>
    <m/>
  </r>
  <r>
    <s v="Issey Miyake - pcr - online sales  - raw.xlsx"/>
    <s v="Issey Miyake "/>
    <s v="Plan 2"/>
    <s v="Meta"/>
    <s v="Issey Miyake"/>
    <m/>
    <m/>
    <s v="Online Sales"/>
    <x v="8"/>
    <s v="Ad 1 | Exclusive Gift"/>
    <m/>
    <n v="68.002693690154203"/>
    <n v="47.601885583107936"/>
    <n v="68"/>
    <n v="47.599999999999994"/>
    <n v="5736"/>
    <n v="29"/>
    <n v="1446"/>
    <n v="1446"/>
    <n v="0.51"/>
    <n v="11.85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9"/>
    <s v="Ad 1 | Exclusive Gift"/>
    <m/>
    <n v="20.000792261810062"/>
    <n v="14.000554583267043"/>
    <n v="20"/>
    <n v="14"/>
    <n v="1791"/>
    <n v="12"/>
    <n v="514"/>
    <n v="514"/>
    <n v="0.67"/>
    <n v="11.17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10"/>
    <s v="Ad 1 | Exclusive Gift"/>
    <m/>
    <n v="59.002337172339672"/>
    <n v="41.301636020637766"/>
    <n v="59"/>
    <n v="41.3"/>
    <n v="5748"/>
    <n v="25"/>
    <n v="1600"/>
    <n v="1600"/>
    <n v="0.43"/>
    <n v="10.26"/>
    <n v="0"/>
    <n v="0"/>
    <n v="0"/>
    <n v="0"/>
    <n v="0"/>
    <n v="0"/>
    <m/>
    <m/>
  </r>
  <r>
    <s v="Issey Miyake - pcr - online sales  - raw.xlsx"/>
    <s v="Issey Miyake "/>
    <s v="Plan 2"/>
    <s v="Meta"/>
    <s v="Issey Miyake"/>
    <m/>
    <m/>
    <s v="Online Sales"/>
    <x v="11"/>
    <s v="Ad 1 | Exclusive Gift"/>
    <m/>
    <n v="30.00118839271509"/>
    <n v="21.000831874900562"/>
    <n v="30"/>
    <n v="21"/>
    <n v="2634"/>
    <n v="13"/>
    <n v="635"/>
    <n v="635"/>
    <n v="0.49"/>
    <n v="11.39"/>
    <n v="0"/>
    <n v="0"/>
    <n v="0"/>
    <n v="0"/>
    <n v="0"/>
    <n v="0"/>
    <m/>
    <m/>
  </r>
  <r>
    <s v="Issey Miyake - pcr - reach - raw.xlsx"/>
    <s v="Issey Miyake "/>
    <s v="Plan 1 "/>
    <s v="Meta"/>
    <s v="Issey Miyake"/>
    <m/>
    <m/>
    <s v="Reach"/>
    <x v="0"/>
    <s v="Ad 1 | Exclusive Gift"/>
    <m/>
    <n v="8571.3395237987006"/>
    <n v="5999.9376666590906"/>
    <n v="8571"/>
    <n v="5999.7"/>
    <n v="1287098"/>
    <n v="2352"/>
    <n v="187058"/>
    <n v="187058"/>
    <n v="0.18"/>
    <n v="6.66"/>
    <n v="738.64"/>
    <n v="18"/>
    <n v="498.92"/>
    <n v="239.72"/>
    <n v="56.1"/>
    <n v="1"/>
    <m/>
    <m/>
  </r>
  <r>
    <s v="Issey Miyake - pcr - reach - raw.xlsx"/>
    <s v="Issey Miyake "/>
    <s v="Plan 1 "/>
    <s v="Meta"/>
    <s v="Issey Miyake"/>
    <m/>
    <m/>
    <s v="Reach"/>
    <x v="1"/>
    <s v="Ad 1 | Exclusive Gift"/>
    <m/>
    <n v="2335.0924965663244"/>
    <n v="1634.564747596427"/>
    <n v="2335"/>
    <n v="1634.5"/>
    <n v="89478"/>
    <n v="395"/>
    <n v="8949"/>
    <n v="8949"/>
    <n v="0.44"/>
    <n v="26.1"/>
    <n v="3916.92"/>
    <n v="87"/>
    <n v="2396.5700000000002"/>
    <n v="1520.35"/>
    <n v="129.75"/>
    <n v="2"/>
    <m/>
    <m/>
  </r>
  <r>
    <s v="Issey Miyake - pcr - reach - raw.xlsx"/>
    <s v="Issey Miyake "/>
    <s v="Plan 1 "/>
    <s v="Meta"/>
    <s v="Issey Miyake"/>
    <m/>
    <m/>
    <s v="Reach"/>
    <x v="2"/>
    <s v="Ad 1 | Exclusive Gift"/>
    <m/>
    <n v="5714.2263491991334"/>
    <n v="3999.9584444393931"/>
    <n v="5714"/>
    <n v="3999.7999999999997"/>
    <n v="847180"/>
    <n v="1516"/>
    <n v="122039"/>
    <n v="122039"/>
    <n v="0.18"/>
    <n v="6.74"/>
    <n v="423.69"/>
    <n v="9"/>
    <n v="195.71"/>
    <n v="227.98"/>
    <n v="75.75"/>
    <n v="1"/>
    <m/>
    <m/>
  </r>
  <r>
    <s v="Issey Miyake - pcr - reach - raw.xlsx"/>
    <s v="Issey Miyake "/>
    <s v="Plan 1 "/>
    <s v="Meta"/>
    <s v="Issey Miyake"/>
    <m/>
    <m/>
    <s v="Reach"/>
    <x v="3"/>
    <s v="Ad 1 | Exclusive Gift"/>
    <m/>
    <n v="2830.1121050461234"/>
    <n v="1981.0784735322864"/>
    <n v="2830"/>
    <n v="1980.9999999999998"/>
    <n v="1104848"/>
    <n v="1063"/>
    <n v="719047"/>
    <n v="719047"/>
    <n v="0.1"/>
    <n v="2.56"/>
    <n v="324.39999999999998"/>
    <n v="7"/>
    <n v="124"/>
    <n v="200.4"/>
    <n v="44"/>
    <n v="1"/>
    <m/>
    <m/>
  </r>
  <r>
    <s v="Issey Miyake - pcr - reach - raw.xlsx"/>
    <s v="Issey Miyake "/>
    <s v="Plan 1 "/>
    <s v="Meta"/>
    <s v="Issey Miyake"/>
    <m/>
    <m/>
    <s v="Reach"/>
    <x v="4"/>
    <s v="Ad 1 | Exclusive Gift"/>
    <m/>
    <n v="1106.0438120780964"/>
    <n v="774.23066845466735"/>
    <n v="1106"/>
    <n v="774.19999999999993"/>
    <n v="154138"/>
    <n v="288"/>
    <n v="63187"/>
    <n v="63187"/>
    <n v="0.19"/>
    <n v="7.18"/>
    <n v="145.99"/>
    <n v="4"/>
    <n v="69.989999999999995"/>
    <n v="76"/>
    <n v="0"/>
    <n v="0"/>
    <m/>
    <m/>
  </r>
  <r>
    <s v="Issey Miyake - pcr - reach - raw.xlsx"/>
    <s v="Issey Miyake "/>
    <s v="Plan 1 "/>
    <s v="Meta"/>
    <s v="Issey Miyake"/>
    <m/>
    <m/>
    <s v="Reach"/>
    <x v="5"/>
    <s v="Ad 1 | Exclusive Gift"/>
    <m/>
    <n v="2093.0829101984227"/>
    <n v="1465.1580371388959"/>
    <n v="2093"/>
    <n v="1465.1"/>
    <n v="291130"/>
    <n v="461"/>
    <n v="77144"/>
    <n v="77144"/>
    <n v="0.16"/>
    <n v="7.19"/>
    <n v="40"/>
    <n v="1"/>
    <n v="40"/>
    <n v="0"/>
    <n v="0"/>
    <n v="0"/>
    <m/>
    <m/>
  </r>
  <r>
    <s v="Issey Miyake - pcr - reach - raw.xlsx"/>
    <s v="Issey Miyake "/>
    <s v="Plan 1 "/>
    <s v="Meta"/>
    <s v="Issey Miyake"/>
    <m/>
    <m/>
    <s v="Reach"/>
    <x v="6"/>
    <s v="Ad 1 | Exclusive Gift"/>
    <m/>
    <n v="1181.0467830598839"/>
    <n v="826.73274814191871"/>
    <n v="1181"/>
    <n v="826.69999999999993"/>
    <n v="155159"/>
    <n v="249"/>
    <n v="43373"/>
    <n v="43373"/>
    <n v="0.16"/>
    <n v="7.61"/>
    <n v="0"/>
    <n v="0"/>
    <n v="0"/>
    <n v="0"/>
    <n v="0"/>
    <n v="0"/>
    <m/>
    <m/>
  </r>
  <r>
    <s v="Issey Miyake - pcr - reach - raw.xlsx"/>
    <s v="Issey Miyake "/>
    <s v="Plan 1 "/>
    <s v="Meta"/>
    <s v="Issey Miyake"/>
    <m/>
    <m/>
    <s v="Reach"/>
    <x v="7"/>
    <s v="Ad 1 | Exclusive Gift"/>
    <m/>
    <n v="1602.0634601709858"/>
    <n v="1121.44442211969"/>
    <n v="1602"/>
    <n v="1121.3999999999999"/>
    <n v="66144"/>
    <n v="283"/>
    <n v="6551"/>
    <n v="6551"/>
    <n v="0.43"/>
    <n v="24.22"/>
    <n v="1832.11"/>
    <n v="38"/>
    <n v="1015.38"/>
    <n v="816.73"/>
    <n v="54"/>
    <n v="1"/>
    <m/>
    <m/>
  </r>
  <r>
    <s v="Issey Miyake - pcr - reach - raw.xlsx"/>
    <s v="Issey Miyake "/>
    <s v="Plan 1 "/>
    <s v="Meta"/>
    <s v="Issey Miyake"/>
    <m/>
    <m/>
    <s v="Reach"/>
    <x v="8"/>
    <s v="Ad 1 | Exclusive Gift"/>
    <m/>
    <n v="321.0127158020515"/>
    <n v="224.70890106143602"/>
    <n v="321"/>
    <n v="224.7"/>
    <n v="30524"/>
    <n v="65"/>
    <n v="9507"/>
    <n v="9507"/>
    <n v="0.21"/>
    <n v="10.52"/>
    <n v="40"/>
    <n v="1"/>
    <n v="40"/>
    <n v="0"/>
    <n v="0"/>
    <n v="0"/>
    <m/>
    <m/>
  </r>
  <r>
    <s v="Issey Miyake - pcr - reach - raw.xlsx"/>
    <s v="Issey Miyake "/>
    <s v="Plan 1 "/>
    <s v="Meta"/>
    <s v="Issey Miyake"/>
    <m/>
    <m/>
    <s v="Reach"/>
    <x v="9"/>
    <s v="Ad 1 | Exclusive Gift"/>
    <m/>
    <n v="114.00451589231734"/>
    <n v="79.803161124622136"/>
    <n v="114"/>
    <n v="79.8"/>
    <n v="11273"/>
    <n v="35"/>
    <n v="3014"/>
    <n v="3014"/>
    <n v="0.31"/>
    <n v="10.11"/>
    <n v="0"/>
    <n v="0"/>
    <n v="0"/>
    <n v="0"/>
    <n v="0"/>
    <n v="0"/>
    <m/>
    <m/>
  </r>
  <r>
    <s v="Issey Miyake - pcr - reach - raw.xlsx"/>
    <s v="Issey Miyake "/>
    <s v="Plan 1 "/>
    <s v="Meta"/>
    <s v="Issey Miyake"/>
    <m/>
    <m/>
    <s v="Reach"/>
    <x v="10"/>
    <s v="Ad 1 | Exclusive Gift"/>
    <m/>
    <n v="393.01556794456769"/>
    <n v="275.11089756119736"/>
    <n v="393"/>
    <n v="275.09999999999997"/>
    <n v="39120"/>
    <n v="86"/>
    <n v="10508"/>
    <n v="10508"/>
    <n v="0.22"/>
    <n v="10.050000000000001"/>
    <n v="0"/>
    <n v="0"/>
    <n v="0"/>
    <n v="0"/>
    <n v="0"/>
    <n v="0"/>
    <m/>
    <m/>
  </r>
  <r>
    <s v="Issey Miyake - pcr - reach - raw.xlsx"/>
    <s v="Issey Miyake "/>
    <s v="Plan 1 "/>
    <s v="Meta"/>
    <s v="Issey Miyake"/>
    <m/>
    <m/>
    <s v="Reach"/>
    <x v="11"/>
    <s v="Ad 1 | Exclusive Gift"/>
    <m/>
    <n v="138.00546660648939"/>
    <n v="96.603826624542577"/>
    <n v="138"/>
    <n v="96.6"/>
    <n v="12838"/>
    <n v="30"/>
    <n v="3775"/>
    <n v="3775"/>
    <n v="0.23"/>
    <n v="10.75"/>
    <n v="0"/>
    <n v="0"/>
    <n v="0"/>
    <n v="0"/>
    <n v="0"/>
    <n v="0"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  <r>
    <m/>
    <m/>
    <m/>
    <m/>
    <m/>
    <m/>
    <m/>
    <m/>
    <x v="1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1" cacheId="24" applyNumberFormats="0" applyBorderFormats="0" applyFontFormats="0" applyPatternFormats="0" applyAlignmentFormats="0" applyWidthHeightFormats="0" dataCaption="" updatedVersion="8" compact="0" compactData="0">
  <location ref="A1:F3" firstHeaderRow="1" firstDataRow="2" firstDataCol="0"/>
  <pivotFields count="29">
    <pivotField name="level_0" compact="0" outline="0" multipleItemSelectionAllowed="1" showAll="0"/>
    <pivotField name="A360_Campaign" compact="0" outline="0" multipleItemSelectionAllowed="1" showAll="0"/>
    <pivotField name="Plan_Name" compact="0" outline="0" multipleItemSelectionAllowed="1" showAll="0"/>
    <pivotField name="Channel" compact="0" outline="0" multipleItemSelectionAllowed="1" showAll="0"/>
    <pivotField name="Brand" compact="0" outline="0" multipleItemSelectionAllowed="1" showAll="0"/>
    <pivotField name="Campaign_Object" compact="0" outline="0" multipleItemSelectionAllowed="1" showAll="0"/>
    <pivotField name="Total_Gross_Budget" compact="0" outline="0" multipleItemSelectionAllowed="1" showAll="0"/>
    <pivotField name="Campaign_Optimisation_Activity" compact="0" outline="0" multipleItemSelectionAllowed="1" showAll="0"/>
    <pivotField name="Ad_Set_Name" compact="0" outline="0" multipleItemSelectionAllowed="1" showAll="0"/>
    <pivotField name="Ad" compact="0" outline="0" multipleItemSelectionAllowed="1" showAll="0"/>
    <pivotField name="Audience_Size" compact="0" outline="0" multipleItemSelectionAllowed="1" showAll="0"/>
    <pivotField name="Gross_Spend - 43,998.74" dataField="1" compact="0" numFmtId="164" outline="0" multipleItemSelectionAllowed="1" showAll="0"/>
    <pivotField name="Net_Spend - 30799.12" dataField="1" compact="0" numFmtId="164" outline="0" multipleItemSelectionAllowed="1" showAll="0"/>
    <pivotField name="(don't use this) Gross_Spend - 43,997" compact="0" outline="0" multipleItemSelectionAllowed="1" showAll="0"/>
    <pivotField name="(don't use this) Net_Spend -30,797.9" compact="0" outline="0" multipleItemSelectionAllowed="1" showAll="0"/>
    <pivotField name="Impressions" compact="0" outline="0" multipleItemSelectionAllowed="1" showAll="0"/>
    <pivotField name="Clicks" compact="0" outline="0" multipleItemSelectionAllowed="1" showAll="0"/>
    <pivotField name="Reach" compact="0" outline="0" multipleItemSelectionAllowed="1" showAll="0"/>
    <pivotField name="Ad_Set_Reach" compact="0" outline="0" multipleItemSelectionAllowed="1" showAll="0"/>
    <pivotField name="CTR" compact="0" outline="0" multipleItemSelectionAllowed="1" showAll="0"/>
    <pivotField name="CPM" compact="0" outline="0" multipleItemSelectionAllowed="1" showAll="0"/>
    <pivotField name="Brand_Revenue" dataField="1" compact="0" outline="0" multipleItemSelectionAllowed="1" showAll="0"/>
    <pivotField name="Brand_Units" dataField="1" compact="0" outline="0" multipleItemSelectionAllowed="1" showAll="0"/>
    <pivotField name="Brand_Online_Revenue" compact="0" outline="0" multipleItemSelectionAllowed="1" showAll="0"/>
    <pivotField name="Brand_Instore_Revenue" compact="0" outline="0" multipleItemSelectionAllowed="1" showAll="0"/>
    <pivotField name="SKU_Revenue" dataField="1" compact="0" outline="0" multipleItemSelectionAllowed="1" showAll="0"/>
    <pivotField name="SKU_Units" dataField="1" compact="0" outline="0" multipleItemSelectionAllowed="1" showAll="0"/>
    <pivotField name="SKU_Online_Revenue" compact="0" outline="0" multipleItemSelectionAllowed="1" showAll="0"/>
    <pivotField name="SKU_Instore_Revenue" compact="0" outline="0" multipleItemSelectionAllowe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Gross_Spend - 43,998.74" fld="11" baseField="0"/>
    <dataField name="SUM of Net_Spend - 30799.12" fld="12" baseField="0"/>
    <dataField name="SUM of Brand_Revenue" fld="21" baseField="0"/>
    <dataField name="SUM of Brand_Units" fld="22" baseField="0"/>
    <dataField name="SUM of SKU_Revenue" fld="25" baseField="0"/>
    <dataField name="SUM of SKU_Units" fld="2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 2" cacheId="24" applyNumberFormats="0" applyBorderFormats="0" applyFontFormats="0" applyPatternFormats="0" applyAlignmentFormats="0" applyWidthHeightFormats="0" dataCaption="" updatedVersion="8" compact="0" compactData="0">
  <location ref="A30:G44" firstHeaderRow="1" firstDataRow="2" firstDataCol="1"/>
  <pivotFields count="29">
    <pivotField name="level_0" compact="0" outline="0" multipleItemSelectionAllowed="1" showAll="0"/>
    <pivotField name="A360_Campaign" compact="0" outline="0" multipleItemSelectionAllowed="1" showAll="0"/>
    <pivotField name="Plan_Name" compact="0" outline="0" multipleItemSelectionAllowed="1" showAll="0"/>
    <pivotField name="Channel" compact="0" outline="0" multipleItemSelectionAllowed="1" showAll="0"/>
    <pivotField name="Brand" compact="0" outline="0" multipleItemSelectionAllowed="1" showAll="0"/>
    <pivotField name="Campaign_Object" compact="0" outline="0" multipleItemSelectionAllowed="1" showAll="0"/>
    <pivotField name="Total_Gross_Budget" compact="0" outline="0" multipleItemSelectionAllowed="1" showAll="0"/>
    <pivotField name="Campaign_Optimisation_Activity" compact="0" outline="0" multipleItemSelectionAllowed="1" showAll="0"/>
    <pivotField name="Ad_Set_Name" axis="axisRow" compact="0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name="Ad" compact="0" outline="0" multipleItemSelectionAllowed="1" showAll="0"/>
    <pivotField name="Audience_Size" compact="0" outline="0" multipleItemSelectionAllowed="1" showAll="0"/>
    <pivotField name="Gross_Spend - 43,998.74" dataField="1" compact="0" numFmtId="164" outline="0" multipleItemSelectionAllowed="1" showAll="0"/>
    <pivotField name="Net_Spend - 30799.12" dataField="1" compact="0" numFmtId="164" outline="0" multipleItemSelectionAllowed="1" showAll="0"/>
    <pivotField name="(don't use this) Gross_Spend - 43,997" compact="0" outline="0" multipleItemSelectionAllowed="1" showAll="0"/>
    <pivotField name="(don't use this) Net_Spend -30,797.9" compact="0" outline="0" multipleItemSelectionAllowed="1" showAll="0"/>
    <pivotField name="Impressions" dataField="1" compact="0" outline="0" multipleItemSelectionAllowed="1" showAll="0"/>
    <pivotField name="Clicks" dataField="1" compact="0" outline="0" multipleItemSelectionAllowed="1" showAll="0"/>
    <pivotField name="Reach" compact="0" outline="0" multipleItemSelectionAllowed="1" showAll="0"/>
    <pivotField name="Ad_Set_Reach" compact="0" outline="0" multipleItemSelectionAllowed="1" showAll="0"/>
    <pivotField name="CTR" compact="0" outline="0" multipleItemSelectionAllowed="1" showAll="0"/>
    <pivotField name="CPM" compact="0" outline="0" multipleItemSelectionAllowed="1" showAll="0"/>
    <pivotField name="Brand_Revenue" dataField="1" compact="0" outline="0" multipleItemSelectionAllowed="1" showAll="0"/>
    <pivotField name="Brand_Units" dataField="1" compact="0" outline="0" multipleItemSelectionAllowed="1" showAll="0"/>
    <pivotField name="Brand_Online_Revenue" compact="0" outline="0" multipleItemSelectionAllowed="1" showAll="0"/>
    <pivotField name="Brand_Instore_Revenue" compact="0" outline="0" multipleItemSelectionAllowed="1" showAll="0"/>
    <pivotField name="SKU_Revenue" compact="0" outline="0" multipleItemSelectionAllowed="1" showAll="0"/>
    <pivotField name="SKU_Units" compact="0" outline="0" multipleItemSelectionAllowed="1" showAll="0"/>
    <pivotField name="SKU_Online_Revenue" compact="0" outline="0" multipleItemSelectionAllowed="1" showAll="0"/>
    <pivotField name="SKU_Instore_Revenue" compact="0" outline="0" multipleItemSelectionAllowed="1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et_Spend - 30799.12" fld="12" baseField="0"/>
    <dataField name="SUM of Impressions" fld="15" baseField="0"/>
    <dataField name="SUM of Clicks" fld="16" baseField="0"/>
    <dataField name="SUM of Brand_Revenue" fld="21" baseField="0"/>
    <dataField name="SUM of Brand_Units" fld="22" baseField="0"/>
    <dataField name="SUM of Gross_Spend - 43,998.74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L1" sqref="L1"/>
    </sheetView>
  </sheetViews>
  <sheetFormatPr baseColWidth="10" defaultColWidth="14.5" defaultRowHeight="15" customHeight="1" x14ac:dyDescent="0.2"/>
  <cols>
    <col min="1" max="7" width="8.6640625" customWidth="1"/>
    <col min="8" max="8" width="42.5" customWidth="1"/>
    <col min="9" max="9" width="50.6640625" customWidth="1"/>
    <col min="10" max="11" width="8.6640625" customWidth="1"/>
    <col min="12" max="13" width="28" customWidth="1"/>
    <col min="14" max="15" width="22" customWidth="1"/>
    <col min="16" max="29" width="8.6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81</v>
      </c>
      <c r="M1" s="3" t="s">
        <v>11</v>
      </c>
      <c r="N1" s="4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H2" s="5" t="s">
        <v>33</v>
      </c>
      <c r="I2" s="5" t="s">
        <v>34</v>
      </c>
      <c r="J2" s="5" t="s">
        <v>35</v>
      </c>
      <c r="L2" s="6">
        <f t="shared" ref="L2:L25" si="0">M2/0.7</f>
        <v>5714.2263491991334</v>
      </c>
      <c r="M2" s="6">
        <f t="shared" ref="M2:M25" si="1">O2/SUM($O$2:$O$25)* 30799.12</f>
        <v>3999.9584444393931</v>
      </c>
      <c r="N2" s="7">
        <v>5714</v>
      </c>
      <c r="O2" s="7">
        <f t="shared" ref="O2:O25" si="2">N2*0.7</f>
        <v>3999.7999999999997</v>
      </c>
      <c r="P2" s="5">
        <v>649111</v>
      </c>
      <c r="Q2" s="5">
        <v>2146</v>
      </c>
      <c r="R2" s="5">
        <v>93284</v>
      </c>
      <c r="S2" s="5">
        <v>93284</v>
      </c>
      <c r="T2" s="5">
        <v>0.33</v>
      </c>
      <c r="U2" s="5">
        <v>8.8000000000000007</v>
      </c>
      <c r="V2" s="5">
        <v>871.40000000000009</v>
      </c>
      <c r="W2" s="5">
        <v>21</v>
      </c>
      <c r="X2" s="5">
        <v>536.42000000000007</v>
      </c>
      <c r="Y2" s="5">
        <v>334.98</v>
      </c>
      <c r="Z2" s="5">
        <v>108</v>
      </c>
      <c r="AA2" s="5">
        <v>2</v>
      </c>
    </row>
    <row r="3" spans="1:29" x14ac:dyDescent="0.2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H3" s="5" t="s">
        <v>33</v>
      </c>
      <c r="I3" s="5" t="s">
        <v>36</v>
      </c>
      <c r="J3" s="5" t="s">
        <v>35</v>
      </c>
      <c r="L3" s="6">
        <f t="shared" si="0"/>
        <v>3211.1271976336047</v>
      </c>
      <c r="M3" s="6">
        <f t="shared" si="1"/>
        <v>2247.7890383435233</v>
      </c>
      <c r="N3" s="7">
        <v>3211</v>
      </c>
      <c r="O3" s="7">
        <f t="shared" si="2"/>
        <v>2247.6999999999998</v>
      </c>
      <c r="P3" s="5">
        <v>217976</v>
      </c>
      <c r="Q3" s="5">
        <v>884</v>
      </c>
      <c r="R3" s="5">
        <v>7453</v>
      </c>
      <c r="S3" s="5">
        <v>7453</v>
      </c>
      <c r="T3" s="5">
        <v>0.41</v>
      </c>
      <c r="U3" s="5">
        <v>14.73</v>
      </c>
      <c r="V3" s="5">
        <v>3278.42</v>
      </c>
      <c r="W3" s="5">
        <v>70</v>
      </c>
      <c r="X3" s="5">
        <v>2207.4699999999998</v>
      </c>
      <c r="Y3" s="5">
        <v>1070.95</v>
      </c>
      <c r="Z3" s="5">
        <v>744.37</v>
      </c>
      <c r="AA3" s="5">
        <v>8</v>
      </c>
    </row>
    <row r="4" spans="1:29" x14ac:dyDescent="0.2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H4" s="5" t="s">
        <v>33</v>
      </c>
      <c r="I4" s="5" t="s">
        <v>37</v>
      </c>
      <c r="J4" s="5" t="s">
        <v>35</v>
      </c>
      <c r="L4" s="6">
        <f t="shared" si="0"/>
        <v>4285.1697420928049</v>
      </c>
      <c r="M4" s="6">
        <f t="shared" si="1"/>
        <v>2999.6188194649635</v>
      </c>
      <c r="N4" s="7">
        <v>4285</v>
      </c>
      <c r="O4" s="7">
        <f t="shared" si="2"/>
        <v>2999.5</v>
      </c>
      <c r="P4" s="5">
        <v>486087</v>
      </c>
      <c r="Q4" s="5">
        <v>1615</v>
      </c>
      <c r="R4" s="5">
        <v>64889</v>
      </c>
      <c r="S4" s="5">
        <v>64889</v>
      </c>
      <c r="T4" s="5">
        <v>0.33</v>
      </c>
      <c r="U4" s="5">
        <v>8.82</v>
      </c>
      <c r="V4" s="5">
        <v>631.45000000000005</v>
      </c>
      <c r="W4" s="5">
        <v>14</v>
      </c>
      <c r="X4" s="5">
        <v>429.95</v>
      </c>
      <c r="Y4" s="5">
        <v>201.5</v>
      </c>
      <c r="Z4" s="5">
        <v>124.75</v>
      </c>
      <c r="AA4" s="5">
        <v>2</v>
      </c>
    </row>
    <row r="5" spans="1:29" x14ac:dyDescent="0.2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H5" s="5" t="s">
        <v>33</v>
      </c>
      <c r="I5" s="5" t="s">
        <v>38</v>
      </c>
      <c r="J5" s="5" t="s">
        <v>35</v>
      </c>
      <c r="L5" s="6">
        <f t="shared" si="0"/>
        <v>165.00653615993301</v>
      </c>
      <c r="M5" s="6">
        <f t="shared" si="1"/>
        <v>115.50457531195309</v>
      </c>
      <c r="N5" s="7">
        <v>165</v>
      </c>
      <c r="O5" s="7">
        <f t="shared" si="2"/>
        <v>115.49999999999999</v>
      </c>
      <c r="P5" s="5">
        <v>15464</v>
      </c>
      <c r="Q5" s="5">
        <v>68</v>
      </c>
      <c r="R5" s="5">
        <v>4622</v>
      </c>
      <c r="S5" s="5">
        <v>4622</v>
      </c>
      <c r="T5" s="5">
        <v>0.44</v>
      </c>
      <c r="U5" s="5">
        <v>10.67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9" x14ac:dyDescent="0.2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H6" s="5" t="s">
        <v>33</v>
      </c>
      <c r="I6" s="5" t="s">
        <v>39</v>
      </c>
      <c r="J6" s="5" t="s">
        <v>35</v>
      </c>
      <c r="L6" s="6">
        <f t="shared" si="0"/>
        <v>592.02345094957775</v>
      </c>
      <c r="M6" s="6">
        <f t="shared" si="1"/>
        <v>414.4164156647044</v>
      </c>
      <c r="N6" s="7">
        <v>592</v>
      </c>
      <c r="O6" s="7">
        <f t="shared" si="2"/>
        <v>414.4</v>
      </c>
      <c r="P6" s="5">
        <v>59998</v>
      </c>
      <c r="Q6" s="5">
        <v>267</v>
      </c>
      <c r="R6" s="5">
        <v>14493</v>
      </c>
      <c r="S6" s="5">
        <v>14493</v>
      </c>
      <c r="T6" s="5">
        <v>0.45</v>
      </c>
      <c r="U6" s="5">
        <v>9.8699999999999992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9" x14ac:dyDescent="0.2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H7" s="5" t="s">
        <v>33</v>
      </c>
      <c r="I7" s="5" t="s">
        <v>40</v>
      </c>
      <c r="J7" s="5" t="s">
        <v>35</v>
      </c>
      <c r="L7" s="6">
        <f t="shared" si="0"/>
        <v>561.02222294377214</v>
      </c>
      <c r="M7" s="6">
        <f t="shared" si="1"/>
        <v>392.71555606064049</v>
      </c>
      <c r="N7" s="7">
        <v>561</v>
      </c>
      <c r="O7" s="7">
        <f t="shared" si="2"/>
        <v>392.7</v>
      </c>
      <c r="P7" s="5">
        <v>56771</v>
      </c>
      <c r="Q7" s="5">
        <v>245</v>
      </c>
      <c r="R7" s="5">
        <v>15559</v>
      </c>
      <c r="S7" s="5">
        <v>15559</v>
      </c>
      <c r="T7" s="5">
        <v>0.43</v>
      </c>
      <c r="U7" s="5">
        <v>9.8800000000000008</v>
      </c>
      <c r="V7" s="5">
        <v>55.2</v>
      </c>
      <c r="W7" s="5">
        <v>1</v>
      </c>
      <c r="X7" s="5">
        <v>55.2</v>
      </c>
      <c r="Y7" s="5">
        <v>0</v>
      </c>
      <c r="Z7" s="5">
        <v>0</v>
      </c>
      <c r="AA7" s="5">
        <v>0</v>
      </c>
    </row>
    <row r="8" spans="1:29" x14ac:dyDescent="0.2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H8" s="5" t="s">
        <v>33</v>
      </c>
      <c r="I8" s="5" t="s">
        <v>41</v>
      </c>
      <c r="J8" s="5" t="s">
        <v>35</v>
      </c>
      <c r="L8" s="6">
        <f t="shared" si="0"/>
        <v>466.01845970017439</v>
      </c>
      <c r="M8" s="6">
        <f t="shared" si="1"/>
        <v>326.21292179012204</v>
      </c>
      <c r="N8" s="7">
        <v>466</v>
      </c>
      <c r="O8" s="7">
        <f t="shared" si="2"/>
        <v>326.2</v>
      </c>
      <c r="P8" s="5">
        <v>39318</v>
      </c>
      <c r="Q8" s="5">
        <v>193</v>
      </c>
      <c r="R8" s="5">
        <v>10221</v>
      </c>
      <c r="S8" s="5">
        <v>10221</v>
      </c>
      <c r="T8" s="5">
        <v>0.49</v>
      </c>
      <c r="U8" s="5">
        <v>11.85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9" x14ac:dyDescent="0.2">
      <c r="A9" s="5" t="s">
        <v>28</v>
      </c>
      <c r="B9" s="5" t="s">
        <v>29</v>
      </c>
      <c r="C9" s="5" t="s">
        <v>30</v>
      </c>
      <c r="D9" s="5" t="s">
        <v>31</v>
      </c>
      <c r="E9" s="5" t="s">
        <v>32</v>
      </c>
      <c r="H9" s="5" t="s">
        <v>33</v>
      </c>
      <c r="I9" s="5" t="s">
        <v>42</v>
      </c>
      <c r="J9" s="5" t="s">
        <v>35</v>
      </c>
      <c r="L9" s="6">
        <f t="shared" si="0"/>
        <v>2428.096180583741</v>
      </c>
      <c r="M9" s="6">
        <f t="shared" si="1"/>
        <v>1699.6673264086187</v>
      </c>
      <c r="N9" s="7">
        <v>2428</v>
      </c>
      <c r="O9" s="7">
        <f t="shared" si="2"/>
        <v>1699.6</v>
      </c>
      <c r="P9" s="5">
        <v>172808</v>
      </c>
      <c r="Q9" s="5">
        <v>687</v>
      </c>
      <c r="R9" s="5">
        <v>5415</v>
      </c>
      <c r="S9" s="5">
        <v>5415</v>
      </c>
      <c r="T9" s="5">
        <v>0.4</v>
      </c>
      <c r="U9" s="5">
        <v>14.05</v>
      </c>
      <c r="V9" s="5">
        <v>1691.49</v>
      </c>
      <c r="W9" s="5">
        <v>38</v>
      </c>
      <c r="X9" s="5">
        <v>733.57</v>
      </c>
      <c r="Y9" s="5">
        <v>957.92000000000007</v>
      </c>
      <c r="Z9" s="5">
        <v>75.75</v>
      </c>
      <c r="AA9" s="5">
        <v>1</v>
      </c>
    </row>
    <row r="10" spans="1:29" x14ac:dyDescent="0.2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32</v>
      </c>
      <c r="H10" s="5" t="s">
        <v>33</v>
      </c>
      <c r="I10" s="5" t="s">
        <v>43</v>
      </c>
      <c r="J10" s="5" t="s">
        <v>35</v>
      </c>
      <c r="L10" s="6">
        <f t="shared" si="0"/>
        <v>68.002693690154203</v>
      </c>
      <c r="M10" s="6">
        <f t="shared" si="1"/>
        <v>47.601885583107936</v>
      </c>
      <c r="N10" s="7">
        <v>68</v>
      </c>
      <c r="O10" s="7">
        <f t="shared" si="2"/>
        <v>47.599999999999994</v>
      </c>
      <c r="P10" s="5">
        <v>5736</v>
      </c>
      <c r="Q10" s="5">
        <v>29</v>
      </c>
      <c r="R10" s="5">
        <v>1446</v>
      </c>
      <c r="S10" s="5">
        <v>1446</v>
      </c>
      <c r="T10" s="5">
        <v>0.51</v>
      </c>
      <c r="U10" s="5">
        <v>11.85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9" x14ac:dyDescent="0.2">
      <c r="A11" s="5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H11" s="5" t="s">
        <v>33</v>
      </c>
      <c r="I11" s="5" t="s">
        <v>44</v>
      </c>
      <c r="J11" s="5" t="s">
        <v>35</v>
      </c>
      <c r="L11" s="6">
        <f t="shared" si="0"/>
        <v>20.000792261810062</v>
      </c>
      <c r="M11" s="6">
        <f t="shared" si="1"/>
        <v>14.000554583267043</v>
      </c>
      <c r="N11" s="7">
        <v>20</v>
      </c>
      <c r="O11" s="7">
        <f t="shared" si="2"/>
        <v>14</v>
      </c>
      <c r="P11" s="5">
        <v>1791</v>
      </c>
      <c r="Q11" s="5">
        <v>12</v>
      </c>
      <c r="R11" s="5">
        <v>514</v>
      </c>
      <c r="S11" s="5">
        <v>514</v>
      </c>
      <c r="T11" s="5">
        <v>0.67</v>
      </c>
      <c r="U11" s="5">
        <v>11.17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9" x14ac:dyDescent="0.2">
      <c r="A12" s="5" t="s">
        <v>28</v>
      </c>
      <c r="B12" s="5" t="s">
        <v>29</v>
      </c>
      <c r="C12" s="5" t="s">
        <v>30</v>
      </c>
      <c r="D12" s="5" t="s">
        <v>31</v>
      </c>
      <c r="E12" s="5" t="s">
        <v>32</v>
      </c>
      <c r="H12" s="5" t="s">
        <v>33</v>
      </c>
      <c r="I12" s="5" t="s">
        <v>45</v>
      </c>
      <c r="J12" s="5" t="s">
        <v>35</v>
      </c>
      <c r="L12" s="6">
        <f t="shared" si="0"/>
        <v>59.002337172339672</v>
      </c>
      <c r="M12" s="6">
        <f t="shared" si="1"/>
        <v>41.301636020637766</v>
      </c>
      <c r="N12" s="7">
        <v>59</v>
      </c>
      <c r="O12" s="7">
        <f t="shared" si="2"/>
        <v>41.3</v>
      </c>
      <c r="P12" s="5">
        <v>5748</v>
      </c>
      <c r="Q12" s="5">
        <v>25</v>
      </c>
      <c r="R12" s="5">
        <v>1600</v>
      </c>
      <c r="S12" s="5">
        <v>1600</v>
      </c>
      <c r="T12" s="5">
        <v>0.43</v>
      </c>
      <c r="U12" s="5">
        <v>10.26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9" x14ac:dyDescent="0.2">
      <c r="A13" s="5" t="s">
        <v>28</v>
      </c>
      <c r="B13" s="5" t="s">
        <v>29</v>
      </c>
      <c r="C13" s="5" t="s">
        <v>30</v>
      </c>
      <c r="D13" s="5" t="s">
        <v>31</v>
      </c>
      <c r="E13" s="5" t="s">
        <v>32</v>
      </c>
      <c r="H13" s="5" t="s">
        <v>33</v>
      </c>
      <c r="I13" s="5" t="s">
        <v>46</v>
      </c>
      <c r="J13" s="5" t="s">
        <v>35</v>
      </c>
      <c r="L13" s="6">
        <f t="shared" si="0"/>
        <v>30.00118839271509</v>
      </c>
      <c r="M13" s="6">
        <f t="shared" si="1"/>
        <v>21.000831874900562</v>
      </c>
      <c r="N13" s="7">
        <v>30</v>
      </c>
      <c r="O13" s="7">
        <f t="shared" si="2"/>
        <v>21</v>
      </c>
      <c r="P13" s="5">
        <v>2634</v>
      </c>
      <c r="Q13" s="5">
        <v>13</v>
      </c>
      <c r="R13" s="5">
        <v>635</v>
      </c>
      <c r="S13" s="5">
        <v>635</v>
      </c>
      <c r="T13" s="5">
        <v>0.49</v>
      </c>
      <c r="U13" s="5">
        <v>11.39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9" x14ac:dyDescent="0.2">
      <c r="A14" s="5" t="s">
        <v>47</v>
      </c>
      <c r="B14" s="5" t="s">
        <v>29</v>
      </c>
      <c r="C14" s="5" t="s">
        <v>48</v>
      </c>
      <c r="D14" s="5" t="s">
        <v>31</v>
      </c>
      <c r="E14" s="5" t="s">
        <v>32</v>
      </c>
      <c r="H14" s="5" t="s">
        <v>16</v>
      </c>
      <c r="I14" s="5" t="s">
        <v>34</v>
      </c>
      <c r="J14" s="5" t="s">
        <v>35</v>
      </c>
      <c r="L14" s="6">
        <f t="shared" si="0"/>
        <v>8571.3395237987006</v>
      </c>
      <c r="M14" s="6">
        <f t="shared" si="1"/>
        <v>5999.9376666590906</v>
      </c>
      <c r="N14" s="7">
        <v>8571</v>
      </c>
      <c r="O14" s="7">
        <f t="shared" si="2"/>
        <v>5999.7</v>
      </c>
      <c r="P14" s="5">
        <v>1287098</v>
      </c>
      <c r="Q14" s="5">
        <v>2352</v>
      </c>
      <c r="R14" s="5">
        <v>187058</v>
      </c>
      <c r="S14" s="5">
        <v>187058</v>
      </c>
      <c r="T14" s="5">
        <v>0.18</v>
      </c>
      <c r="U14" s="5">
        <v>6.66</v>
      </c>
      <c r="V14" s="5">
        <v>738.64</v>
      </c>
      <c r="W14" s="5">
        <v>18</v>
      </c>
      <c r="X14" s="5">
        <v>498.92</v>
      </c>
      <c r="Y14" s="5">
        <v>239.72</v>
      </c>
      <c r="Z14" s="5">
        <v>56.1</v>
      </c>
      <c r="AA14" s="5">
        <v>1</v>
      </c>
    </row>
    <row r="15" spans="1:29" x14ac:dyDescent="0.2">
      <c r="A15" s="5" t="s">
        <v>47</v>
      </c>
      <c r="B15" s="5" t="s">
        <v>29</v>
      </c>
      <c r="C15" s="5" t="s">
        <v>48</v>
      </c>
      <c r="D15" s="5" t="s">
        <v>31</v>
      </c>
      <c r="E15" s="5" t="s">
        <v>32</v>
      </c>
      <c r="H15" s="5" t="s">
        <v>16</v>
      </c>
      <c r="I15" s="5" t="s">
        <v>36</v>
      </c>
      <c r="J15" s="5" t="s">
        <v>35</v>
      </c>
      <c r="L15" s="6">
        <f t="shared" si="0"/>
        <v>2335.0924965663244</v>
      </c>
      <c r="M15" s="6">
        <f t="shared" si="1"/>
        <v>1634.564747596427</v>
      </c>
      <c r="N15" s="7">
        <v>2335</v>
      </c>
      <c r="O15" s="7">
        <f t="shared" si="2"/>
        <v>1634.5</v>
      </c>
      <c r="P15" s="5">
        <v>89478</v>
      </c>
      <c r="Q15" s="5">
        <v>395</v>
      </c>
      <c r="R15" s="5">
        <v>8949</v>
      </c>
      <c r="S15" s="5">
        <v>8949</v>
      </c>
      <c r="T15" s="5">
        <v>0.44</v>
      </c>
      <c r="U15" s="5">
        <v>26.1</v>
      </c>
      <c r="V15" s="5">
        <v>3916.92</v>
      </c>
      <c r="W15" s="5">
        <v>87</v>
      </c>
      <c r="X15" s="5">
        <v>2396.5700000000002</v>
      </c>
      <c r="Y15" s="5">
        <v>1520.35</v>
      </c>
      <c r="Z15" s="5">
        <v>129.75</v>
      </c>
      <c r="AA15" s="5">
        <v>2</v>
      </c>
    </row>
    <row r="16" spans="1:29" x14ac:dyDescent="0.2">
      <c r="A16" s="5" t="s">
        <v>47</v>
      </c>
      <c r="B16" s="5" t="s">
        <v>29</v>
      </c>
      <c r="C16" s="5" t="s">
        <v>48</v>
      </c>
      <c r="D16" s="5" t="s">
        <v>31</v>
      </c>
      <c r="E16" s="5" t="s">
        <v>32</v>
      </c>
      <c r="H16" s="5" t="s">
        <v>16</v>
      </c>
      <c r="I16" s="5" t="s">
        <v>37</v>
      </c>
      <c r="J16" s="5" t="s">
        <v>35</v>
      </c>
      <c r="L16" s="6">
        <f t="shared" si="0"/>
        <v>5714.2263491991334</v>
      </c>
      <c r="M16" s="6">
        <f t="shared" si="1"/>
        <v>3999.9584444393931</v>
      </c>
      <c r="N16" s="7">
        <v>5714</v>
      </c>
      <c r="O16" s="7">
        <f t="shared" si="2"/>
        <v>3999.7999999999997</v>
      </c>
      <c r="P16" s="5">
        <v>847180</v>
      </c>
      <c r="Q16" s="5">
        <v>1516</v>
      </c>
      <c r="R16" s="5">
        <v>122039</v>
      </c>
      <c r="S16" s="5">
        <v>122039</v>
      </c>
      <c r="T16" s="5">
        <v>0.18</v>
      </c>
      <c r="U16" s="5">
        <v>6.74</v>
      </c>
      <c r="V16" s="5">
        <v>423.69</v>
      </c>
      <c r="W16" s="5">
        <v>9</v>
      </c>
      <c r="X16" s="5">
        <v>195.71</v>
      </c>
      <c r="Y16" s="5">
        <v>227.98</v>
      </c>
      <c r="Z16" s="5">
        <v>75.75</v>
      </c>
      <c r="AA16" s="5">
        <v>1</v>
      </c>
    </row>
    <row r="17" spans="1:27" x14ac:dyDescent="0.2">
      <c r="A17" s="5" t="s">
        <v>47</v>
      </c>
      <c r="B17" s="5" t="s">
        <v>29</v>
      </c>
      <c r="C17" s="5" t="s">
        <v>48</v>
      </c>
      <c r="D17" s="5" t="s">
        <v>31</v>
      </c>
      <c r="E17" s="5" t="s">
        <v>32</v>
      </c>
      <c r="H17" s="5" t="s">
        <v>16</v>
      </c>
      <c r="I17" s="5" t="s">
        <v>38</v>
      </c>
      <c r="J17" s="5" t="s">
        <v>35</v>
      </c>
      <c r="L17" s="6">
        <f t="shared" si="0"/>
        <v>2830.1121050461234</v>
      </c>
      <c r="M17" s="6">
        <f t="shared" si="1"/>
        <v>1981.0784735322864</v>
      </c>
      <c r="N17" s="7">
        <v>2830</v>
      </c>
      <c r="O17" s="7">
        <f t="shared" si="2"/>
        <v>1980.9999999999998</v>
      </c>
      <c r="P17" s="5">
        <v>1104848</v>
      </c>
      <c r="Q17" s="5">
        <v>1063</v>
      </c>
      <c r="R17" s="5">
        <v>719047</v>
      </c>
      <c r="S17" s="5">
        <v>719047</v>
      </c>
      <c r="T17" s="5">
        <v>0.1</v>
      </c>
      <c r="U17" s="5">
        <v>2.56</v>
      </c>
      <c r="V17" s="5">
        <v>324.39999999999998</v>
      </c>
      <c r="W17" s="5">
        <v>7</v>
      </c>
      <c r="X17" s="5">
        <v>124</v>
      </c>
      <c r="Y17" s="5">
        <v>200.4</v>
      </c>
      <c r="Z17" s="5">
        <v>44</v>
      </c>
      <c r="AA17" s="5">
        <v>1</v>
      </c>
    </row>
    <row r="18" spans="1:27" x14ac:dyDescent="0.2">
      <c r="A18" s="5" t="s">
        <v>47</v>
      </c>
      <c r="B18" s="5" t="s">
        <v>29</v>
      </c>
      <c r="C18" s="5" t="s">
        <v>48</v>
      </c>
      <c r="D18" s="5" t="s">
        <v>31</v>
      </c>
      <c r="E18" s="5" t="s">
        <v>32</v>
      </c>
      <c r="H18" s="5" t="s">
        <v>16</v>
      </c>
      <c r="I18" s="5" t="s">
        <v>39</v>
      </c>
      <c r="J18" s="5" t="s">
        <v>35</v>
      </c>
      <c r="L18" s="6">
        <f t="shared" si="0"/>
        <v>1106.0438120780964</v>
      </c>
      <c r="M18" s="6">
        <f t="shared" si="1"/>
        <v>774.23066845466735</v>
      </c>
      <c r="N18" s="7">
        <v>1106</v>
      </c>
      <c r="O18" s="7">
        <f t="shared" si="2"/>
        <v>774.19999999999993</v>
      </c>
      <c r="P18" s="5">
        <v>154138</v>
      </c>
      <c r="Q18" s="5">
        <v>288</v>
      </c>
      <c r="R18" s="5">
        <v>63187</v>
      </c>
      <c r="S18" s="5">
        <v>63187</v>
      </c>
      <c r="T18" s="5">
        <v>0.19</v>
      </c>
      <c r="U18" s="5">
        <v>7.18</v>
      </c>
      <c r="V18" s="5">
        <v>145.99</v>
      </c>
      <c r="W18" s="5">
        <v>4</v>
      </c>
      <c r="X18" s="5">
        <v>69.989999999999995</v>
      </c>
      <c r="Y18" s="5">
        <v>76</v>
      </c>
      <c r="Z18" s="5">
        <v>0</v>
      </c>
      <c r="AA18" s="5">
        <v>0</v>
      </c>
    </row>
    <row r="19" spans="1:27" x14ac:dyDescent="0.2">
      <c r="A19" s="5" t="s">
        <v>47</v>
      </c>
      <c r="B19" s="5" t="s">
        <v>29</v>
      </c>
      <c r="C19" s="5" t="s">
        <v>48</v>
      </c>
      <c r="D19" s="5" t="s">
        <v>31</v>
      </c>
      <c r="E19" s="5" t="s">
        <v>32</v>
      </c>
      <c r="H19" s="5" t="s">
        <v>16</v>
      </c>
      <c r="I19" s="5" t="s">
        <v>40</v>
      </c>
      <c r="J19" s="5" t="s">
        <v>35</v>
      </c>
      <c r="L19" s="6">
        <f t="shared" si="0"/>
        <v>2093.0829101984227</v>
      </c>
      <c r="M19" s="6">
        <f t="shared" si="1"/>
        <v>1465.1580371388959</v>
      </c>
      <c r="N19" s="7">
        <v>2093</v>
      </c>
      <c r="O19" s="7">
        <f t="shared" si="2"/>
        <v>1465.1</v>
      </c>
      <c r="P19" s="5">
        <v>291130</v>
      </c>
      <c r="Q19" s="5">
        <v>461</v>
      </c>
      <c r="R19" s="5">
        <v>77144</v>
      </c>
      <c r="S19" s="5">
        <v>77144</v>
      </c>
      <c r="T19" s="5">
        <v>0.16</v>
      </c>
      <c r="U19" s="5">
        <v>7.19</v>
      </c>
      <c r="V19" s="5">
        <v>40</v>
      </c>
      <c r="W19" s="5">
        <v>1</v>
      </c>
      <c r="X19" s="5">
        <v>40</v>
      </c>
      <c r="Y19" s="5">
        <v>0</v>
      </c>
      <c r="Z19" s="5">
        <v>0</v>
      </c>
      <c r="AA19" s="5">
        <v>0</v>
      </c>
    </row>
    <row r="20" spans="1:27" x14ac:dyDescent="0.2">
      <c r="A20" s="5" t="s">
        <v>47</v>
      </c>
      <c r="B20" s="5" t="s">
        <v>29</v>
      </c>
      <c r="C20" s="5" t="s">
        <v>48</v>
      </c>
      <c r="D20" s="5" t="s">
        <v>31</v>
      </c>
      <c r="E20" s="5" t="s">
        <v>32</v>
      </c>
      <c r="H20" s="5" t="s">
        <v>16</v>
      </c>
      <c r="I20" s="5" t="s">
        <v>41</v>
      </c>
      <c r="J20" s="5" t="s">
        <v>35</v>
      </c>
      <c r="L20" s="6">
        <f t="shared" si="0"/>
        <v>1181.0467830598839</v>
      </c>
      <c r="M20" s="6">
        <f t="shared" si="1"/>
        <v>826.73274814191871</v>
      </c>
      <c r="N20" s="7">
        <v>1181</v>
      </c>
      <c r="O20" s="7">
        <f t="shared" si="2"/>
        <v>826.69999999999993</v>
      </c>
      <c r="P20" s="5">
        <v>155159</v>
      </c>
      <c r="Q20" s="5">
        <v>249</v>
      </c>
      <c r="R20" s="5">
        <v>43373</v>
      </c>
      <c r="S20" s="5">
        <v>43373</v>
      </c>
      <c r="T20" s="5">
        <v>0.16</v>
      </c>
      <c r="U20" s="5">
        <v>7.61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15.75" customHeight="1" x14ac:dyDescent="0.2">
      <c r="A21" s="5" t="s">
        <v>47</v>
      </c>
      <c r="B21" s="5" t="s">
        <v>29</v>
      </c>
      <c r="C21" s="5" t="s">
        <v>48</v>
      </c>
      <c r="D21" s="5" t="s">
        <v>31</v>
      </c>
      <c r="E21" s="5" t="s">
        <v>32</v>
      </c>
      <c r="H21" s="5" t="s">
        <v>16</v>
      </c>
      <c r="I21" s="5" t="s">
        <v>42</v>
      </c>
      <c r="J21" s="5" t="s">
        <v>35</v>
      </c>
      <c r="L21" s="6">
        <f t="shared" si="0"/>
        <v>1602.0634601709858</v>
      </c>
      <c r="M21" s="6">
        <f t="shared" si="1"/>
        <v>1121.44442211969</v>
      </c>
      <c r="N21" s="7">
        <v>1602</v>
      </c>
      <c r="O21" s="7">
        <f t="shared" si="2"/>
        <v>1121.3999999999999</v>
      </c>
      <c r="P21" s="5">
        <v>66144</v>
      </c>
      <c r="Q21" s="5">
        <v>283</v>
      </c>
      <c r="R21" s="5">
        <v>6551</v>
      </c>
      <c r="S21" s="5">
        <v>6551</v>
      </c>
      <c r="T21" s="5">
        <v>0.43</v>
      </c>
      <c r="U21" s="5">
        <v>24.22</v>
      </c>
      <c r="V21" s="5">
        <v>1832.11</v>
      </c>
      <c r="W21" s="5">
        <v>38</v>
      </c>
      <c r="X21" s="5">
        <v>1015.38</v>
      </c>
      <c r="Y21" s="5">
        <v>816.73</v>
      </c>
      <c r="Z21" s="5">
        <v>54</v>
      </c>
      <c r="AA21" s="5">
        <v>1</v>
      </c>
    </row>
    <row r="22" spans="1:27" ht="15.75" customHeight="1" x14ac:dyDescent="0.2">
      <c r="A22" s="5" t="s">
        <v>47</v>
      </c>
      <c r="B22" s="5" t="s">
        <v>29</v>
      </c>
      <c r="C22" s="5" t="s">
        <v>48</v>
      </c>
      <c r="D22" s="5" t="s">
        <v>31</v>
      </c>
      <c r="E22" s="5" t="s">
        <v>32</v>
      </c>
      <c r="H22" s="5" t="s">
        <v>16</v>
      </c>
      <c r="I22" s="5" t="s">
        <v>43</v>
      </c>
      <c r="J22" s="5" t="s">
        <v>35</v>
      </c>
      <c r="L22" s="6">
        <f t="shared" si="0"/>
        <v>321.0127158020515</v>
      </c>
      <c r="M22" s="6">
        <f t="shared" si="1"/>
        <v>224.70890106143602</v>
      </c>
      <c r="N22" s="7">
        <v>321</v>
      </c>
      <c r="O22" s="7">
        <f t="shared" si="2"/>
        <v>224.7</v>
      </c>
      <c r="P22" s="5">
        <v>30524</v>
      </c>
      <c r="Q22" s="5">
        <v>65</v>
      </c>
      <c r="R22" s="5">
        <v>9507</v>
      </c>
      <c r="S22" s="5">
        <v>9507</v>
      </c>
      <c r="T22" s="5">
        <v>0.21</v>
      </c>
      <c r="U22" s="5">
        <v>10.52</v>
      </c>
      <c r="V22" s="5">
        <v>40</v>
      </c>
      <c r="W22" s="5">
        <v>1</v>
      </c>
      <c r="X22" s="5">
        <v>40</v>
      </c>
      <c r="Y22" s="5">
        <v>0</v>
      </c>
      <c r="Z22" s="5">
        <v>0</v>
      </c>
      <c r="AA22" s="5">
        <v>0</v>
      </c>
    </row>
    <row r="23" spans="1:27" ht="15.75" customHeight="1" x14ac:dyDescent="0.2">
      <c r="A23" s="5" t="s">
        <v>47</v>
      </c>
      <c r="B23" s="5" t="s">
        <v>29</v>
      </c>
      <c r="C23" s="5" t="s">
        <v>48</v>
      </c>
      <c r="D23" s="5" t="s">
        <v>31</v>
      </c>
      <c r="E23" s="5" t="s">
        <v>32</v>
      </c>
      <c r="H23" s="5" t="s">
        <v>16</v>
      </c>
      <c r="I23" s="5" t="s">
        <v>44</v>
      </c>
      <c r="J23" s="5" t="s">
        <v>35</v>
      </c>
      <c r="L23" s="6">
        <f t="shared" si="0"/>
        <v>114.00451589231734</v>
      </c>
      <c r="M23" s="6">
        <f t="shared" si="1"/>
        <v>79.803161124622136</v>
      </c>
      <c r="N23" s="7">
        <v>114</v>
      </c>
      <c r="O23" s="7">
        <f t="shared" si="2"/>
        <v>79.8</v>
      </c>
      <c r="P23" s="5">
        <v>11273</v>
      </c>
      <c r="Q23" s="5">
        <v>35</v>
      </c>
      <c r="R23" s="5">
        <v>3014</v>
      </c>
      <c r="S23" s="5">
        <v>3014</v>
      </c>
      <c r="T23" s="5">
        <v>0.31</v>
      </c>
      <c r="U23" s="5">
        <v>10.11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15.75" customHeight="1" x14ac:dyDescent="0.2">
      <c r="A24" s="5" t="s">
        <v>47</v>
      </c>
      <c r="B24" s="5" t="s">
        <v>29</v>
      </c>
      <c r="C24" s="5" t="s">
        <v>48</v>
      </c>
      <c r="D24" s="5" t="s">
        <v>31</v>
      </c>
      <c r="E24" s="5" t="s">
        <v>32</v>
      </c>
      <c r="H24" s="5" t="s">
        <v>16</v>
      </c>
      <c r="I24" s="5" t="s">
        <v>45</v>
      </c>
      <c r="J24" s="5" t="s">
        <v>35</v>
      </c>
      <c r="L24" s="6">
        <f t="shared" si="0"/>
        <v>393.01556794456769</v>
      </c>
      <c r="M24" s="6">
        <f t="shared" si="1"/>
        <v>275.11089756119736</v>
      </c>
      <c r="N24" s="7">
        <v>393</v>
      </c>
      <c r="O24" s="7">
        <f t="shared" si="2"/>
        <v>275.09999999999997</v>
      </c>
      <c r="P24" s="5">
        <v>39120</v>
      </c>
      <c r="Q24" s="5">
        <v>86</v>
      </c>
      <c r="R24" s="5">
        <v>10508</v>
      </c>
      <c r="S24" s="5">
        <v>10508</v>
      </c>
      <c r="T24" s="5">
        <v>0.22</v>
      </c>
      <c r="U24" s="5">
        <v>10.050000000000001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15.75" customHeight="1" x14ac:dyDescent="0.2">
      <c r="A25" s="5" t="s">
        <v>47</v>
      </c>
      <c r="B25" s="5" t="s">
        <v>29</v>
      </c>
      <c r="C25" s="5" t="s">
        <v>48</v>
      </c>
      <c r="D25" s="5" t="s">
        <v>31</v>
      </c>
      <c r="E25" s="5" t="s">
        <v>32</v>
      </c>
      <c r="H25" s="5" t="s">
        <v>16</v>
      </c>
      <c r="I25" s="5" t="s">
        <v>46</v>
      </c>
      <c r="J25" s="5" t="s">
        <v>35</v>
      </c>
      <c r="L25" s="6">
        <f t="shared" si="0"/>
        <v>138.00546660648939</v>
      </c>
      <c r="M25" s="6">
        <f t="shared" si="1"/>
        <v>96.603826624542577</v>
      </c>
      <c r="N25" s="7">
        <v>138</v>
      </c>
      <c r="O25" s="7">
        <f t="shared" si="2"/>
        <v>96.6</v>
      </c>
      <c r="P25" s="5">
        <v>12838</v>
      </c>
      <c r="Q25" s="5">
        <v>30</v>
      </c>
      <c r="R25" s="5">
        <v>3775</v>
      </c>
      <c r="S25" s="5">
        <v>3775</v>
      </c>
      <c r="T25" s="5">
        <v>0.23</v>
      </c>
      <c r="U25" s="5">
        <v>10.75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15.75" customHeight="1" x14ac:dyDescent="0.2">
      <c r="L26" s="6"/>
      <c r="M26" s="6"/>
      <c r="N26" s="7"/>
      <c r="O26" s="7"/>
    </row>
    <row r="27" spans="1:27" ht="15.75" customHeight="1" x14ac:dyDescent="0.2">
      <c r="L27" s="6"/>
      <c r="M27" s="6"/>
      <c r="N27" s="7"/>
      <c r="O27" s="7"/>
    </row>
    <row r="28" spans="1:27" ht="15.75" customHeight="1" x14ac:dyDescent="0.2">
      <c r="L28" s="6"/>
      <c r="M28" s="6"/>
      <c r="N28" s="7"/>
      <c r="O28" s="7"/>
    </row>
    <row r="29" spans="1:27" ht="15.75" customHeight="1" x14ac:dyDescent="0.2">
      <c r="L29" s="6"/>
      <c r="M29" s="6"/>
      <c r="N29" s="7"/>
      <c r="O29" s="7"/>
    </row>
    <row r="30" spans="1:27" ht="15.75" customHeight="1" x14ac:dyDescent="0.2">
      <c r="L30" s="6"/>
      <c r="M30" s="6"/>
      <c r="N30" s="7"/>
      <c r="O30" s="7"/>
    </row>
    <row r="31" spans="1:27" ht="15.75" customHeight="1" x14ac:dyDescent="0.2">
      <c r="L31" s="6"/>
      <c r="M31" s="6"/>
      <c r="N31" s="7"/>
      <c r="O31" s="7"/>
    </row>
    <row r="32" spans="1:27" ht="15.75" customHeight="1" x14ac:dyDescent="0.2">
      <c r="L32" s="6"/>
      <c r="M32" s="6"/>
      <c r="N32" s="7"/>
      <c r="O32" s="7"/>
    </row>
    <row r="33" spans="12:15" ht="15.75" customHeight="1" x14ac:dyDescent="0.2">
      <c r="L33" s="6"/>
      <c r="M33" s="6"/>
      <c r="N33" s="7"/>
      <c r="O33" s="7"/>
    </row>
    <row r="34" spans="12:15" ht="15.75" customHeight="1" x14ac:dyDescent="0.2">
      <c r="L34" s="6"/>
      <c r="M34" s="6"/>
      <c r="N34" s="7"/>
      <c r="O34" s="7"/>
    </row>
    <row r="35" spans="12:15" ht="15.75" customHeight="1" x14ac:dyDescent="0.2">
      <c r="L35" s="6"/>
      <c r="M35" s="6"/>
      <c r="N35" s="7"/>
      <c r="O35" s="7"/>
    </row>
    <row r="36" spans="12:15" ht="15.75" customHeight="1" x14ac:dyDescent="0.2">
      <c r="L36" s="6"/>
      <c r="M36" s="6"/>
      <c r="N36" s="7"/>
      <c r="O36" s="7"/>
    </row>
    <row r="37" spans="12:15" ht="15.75" customHeight="1" x14ac:dyDescent="0.2">
      <c r="L37" s="6"/>
      <c r="M37" s="6"/>
      <c r="N37" s="7"/>
      <c r="O37" s="7"/>
    </row>
    <row r="38" spans="12:15" ht="15.75" customHeight="1" x14ac:dyDescent="0.2">
      <c r="L38" s="6"/>
      <c r="M38" s="6"/>
      <c r="N38" s="7"/>
      <c r="O38" s="7"/>
    </row>
    <row r="39" spans="12:15" ht="15.75" customHeight="1" x14ac:dyDescent="0.2">
      <c r="L39" s="6"/>
      <c r="M39" s="6"/>
      <c r="N39" s="7"/>
      <c r="O39" s="7"/>
    </row>
    <row r="40" spans="12:15" ht="15.75" customHeight="1" x14ac:dyDescent="0.2">
      <c r="L40" s="6"/>
      <c r="M40" s="6"/>
      <c r="N40" s="7"/>
      <c r="O40" s="7"/>
    </row>
    <row r="41" spans="12:15" ht="15.75" customHeight="1" x14ac:dyDescent="0.2">
      <c r="L41" s="6"/>
      <c r="M41" s="6"/>
      <c r="N41" s="7"/>
      <c r="O41" s="7"/>
    </row>
    <row r="42" spans="12:15" ht="15.75" customHeight="1" x14ac:dyDescent="0.2">
      <c r="L42" s="6"/>
      <c r="M42" s="6"/>
      <c r="N42" s="7"/>
      <c r="O42" s="7"/>
    </row>
    <row r="43" spans="12:15" ht="15.75" customHeight="1" x14ac:dyDescent="0.2">
      <c r="L43" s="6"/>
      <c r="M43" s="6"/>
      <c r="N43" s="7"/>
      <c r="O43" s="7"/>
    </row>
    <row r="44" spans="12:15" ht="15.75" customHeight="1" x14ac:dyDescent="0.2">
      <c r="L44" s="6"/>
      <c r="M44" s="6"/>
      <c r="N44" s="7"/>
      <c r="O44" s="7"/>
    </row>
    <row r="45" spans="12:15" ht="15.75" customHeight="1" x14ac:dyDescent="0.2">
      <c r="L45" s="6"/>
      <c r="M45" s="6"/>
      <c r="N45" s="7"/>
      <c r="O45" s="7"/>
    </row>
    <row r="46" spans="12:15" ht="15.75" customHeight="1" x14ac:dyDescent="0.2">
      <c r="L46" s="6"/>
      <c r="M46" s="6"/>
      <c r="N46" s="7"/>
      <c r="O46" s="7"/>
    </row>
    <row r="47" spans="12:15" ht="15.75" customHeight="1" x14ac:dyDescent="0.2">
      <c r="L47" s="6"/>
      <c r="M47" s="6"/>
      <c r="N47" s="7"/>
      <c r="O47" s="7"/>
    </row>
    <row r="48" spans="12:15" ht="15.75" customHeight="1" x14ac:dyDescent="0.2">
      <c r="L48" s="6"/>
      <c r="M48" s="6"/>
      <c r="N48" s="7"/>
      <c r="O48" s="7"/>
    </row>
    <row r="49" spans="12:15" ht="15.75" customHeight="1" x14ac:dyDescent="0.2">
      <c r="L49" s="6"/>
      <c r="M49" s="6"/>
      <c r="N49" s="7"/>
      <c r="O49" s="7"/>
    </row>
    <row r="50" spans="12:15" ht="15.75" customHeight="1" x14ac:dyDescent="0.2">
      <c r="L50" s="6"/>
      <c r="M50" s="6"/>
      <c r="N50" s="7"/>
      <c r="O50" s="7"/>
    </row>
    <row r="51" spans="12:15" ht="15.75" customHeight="1" x14ac:dyDescent="0.2">
      <c r="L51" s="6"/>
      <c r="M51" s="6"/>
      <c r="N51" s="7"/>
      <c r="O51" s="7"/>
    </row>
    <row r="52" spans="12:15" ht="15.75" customHeight="1" x14ac:dyDescent="0.2">
      <c r="L52" s="6"/>
      <c r="M52" s="6"/>
      <c r="N52" s="7"/>
      <c r="O52" s="7"/>
    </row>
    <row r="53" spans="12:15" ht="15.75" customHeight="1" x14ac:dyDescent="0.2">
      <c r="L53" s="6"/>
      <c r="M53" s="6"/>
      <c r="N53" s="7"/>
      <c r="O53" s="7"/>
    </row>
    <row r="54" spans="12:15" ht="15.75" customHeight="1" x14ac:dyDescent="0.2">
      <c r="L54" s="6"/>
      <c r="M54" s="6"/>
      <c r="N54" s="7"/>
      <c r="O54" s="7"/>
    </row>
    <row r="55" spans="12:15" ht="15.75" customHeight="1" x14ac:dyDescent="0.2">
      <c r="L55" s="6"/>
      <c r="M55" s="6"/>
      <c r="N55" s="7"/>
      <c r="O55" s="7"/>
    </row>
    <row r="56" spans="12:15" ht="15.75" customHeight="1" x14ac:dyDescent="0.2">
      <c r="L56" s="6"/>
      <c r="M56" s="6"/>
      <c r="N56" s="7"/>
      <c r="O56" s="7"/>
    </row>
    <row r="57" spans="12:15" ht="15.75" customHeight="1" x14ac:dyDescent="0.2">
      <c r="L57" s="6"/>
      <c r="M57" s="6"/>
      <c r="N57" s="7"/>
      <c r="O57" s="7"/>
    </row>
    <row r="58" spans="12:15" ht="15.75" customHeight="1" x14ac:dyDescent="0.2">
      <c r="L58" s="6"/>
      <c r="M58" s="6"/>
      <c r="N58" s="7"/>
      <c r="O58" s="7"/>
    </row>
    <row r="59" spans="12:15" ht="15.75" customHeight="1" x14ac:dyDescent="0.2">
      <c r="L59" s="6"/>
      <c r="M59" s="6"/>
      <c r="N59" s="7"/>
      <c r="O59" s="7"/>
    </row>
    <row r="60" spans="12:15" ht="15.75" customHeight="1" x14ac:dyDescent="0.2">
      <c r="L60" s="6"/>
      <c r="M60" s="6"/>
      <c r="N60" s="7"/>
      <c r="O60" s="7"/>
    </row>
    <row r="61" spans="12:15" ht="15.75" customHeight="1" x14ac:dyDescent="0.2">
      <c r="L61" s="6"/>
      <c r="M61" s="6"/>
      <c r="N61" s="7"/>
      <c r="O61" s="7"/>
    </row>
    <row r="62" spans="12:15" ht="15.75" customHeight="1" x14ac:dyDescent="0.2">
      <c r="L62" s="6"/>
      <c r="M62" s="6"/>
      <c r="N62" s="7"/>
      <c r="O62" s="7"/>
    </row>
    <row r="63" spans="12:15" ht="15.75" customHeight="1" x14ac:dyDescent="0.2">
      <c r="L63" s="6"/>
      <c r="M63" s="6"/>
      <c r="N63" s="7"/>
      <c r="O63" s="7"/>
    </row>
    <row r="64" spans="12:15" ht="15.75" customHeight="1" x14ac:dyDescent="0.2">
      <c r="L64" s="6"/>
      <c r="M64" s="6"/>
      <c r="N64" s="7"/>
      <c r="O64" s="7"/>
    </row>
    <row r="65" spans="12:15" ht="15.75" customHeight="1" x14ac:dyDescent="0.2">
      <c r="L65" s="6"/>
      <c r="M65" s="6"/>
      <c r="N65" s="7"/>
      <c r="O65" s="7"/>
    </row>
    <row r="66" spans="12:15" ht="15.75" customHeight="1" x14ac:dyDescent="0.2">
      <c r="L66" s="6"/>
      <c r="M66" s="6"/>
      <c r="N66" s="7"/>
      <c r="O66" s="7"/>
    </row>
    <row r="67" spans="12:15" ht="15.75" customHeight="1" x14ac:dyDescent="0.2">
      <c r="L67" s="6"/>
      <c r="M67" s="6"/>
      <c r="N67" s="7"/>
      <c r="O67" s="7"/>
    </row>
    <row r="68" spans="12:15" ht="15.75" customHeight="1" x14ac:dyDescent="0.2">
      <c r="L68" s="6"/>
      <c r="M68" s="6"/>
      <c r="N68" s="7"/>
      <c r="O68" s="7"/>
    </row>
    <row r="69" spans="12:15" ht="15.75" customHeight="1" x14ac:dyDescent="0.2">
      <c r="L69" s="6"/>
      <c r="M69" s="6"/>
      <c r="N69" s="7"/>
      <c r="O69" s="7"/>
    </row>
    <row r="70" spans="12:15" ht="15.75" customHeight="1" x14ac:dyDescent="0.2">
      <c r="L70" s="6"/>
      <c r="M70" s="6"/>
      <c r="N70" s="7"/>
      <c r="O70" s="7"/>
    </row>
    <row r="71" spans="12:15" ht="15.75" customHeight="1" x14ac:dyDescent="0.2">
      <c r="L71" s="6"/>
      <c r="M71" s="6"/>
      <c r="N71" s="7"/>
      <c r="O71" s="7"/>
    </row>
    <row r="72" spans="12:15" ht="15.75" customHeight="1" x14ac:dyDescent="0.2">
      <c r="L72" s="6"/>
      <c r="M72" s="6"/>
      <c r="N72" s="7"/>
      <c r="O72" s="7"/>
    </row>
    <row r="73" spans="12:15" ht="15.75" customHeight="1" x14ac:dyDescent="0.2">
      <c r="L73" s="6"/>
      <c r="M73" s="6"/>
      <c r="N73" s="7"/>
      <c r="O73" s="7"/>
    </row>
    <row r="74" spans="12:15" ht="15.75" customHeight="1" x14ac:dyDescent="0.2">
      <c r="L74" s="6"/>
      <c r="M74" s="6"/>
      <c r="N74" s="7"/>
      <c r="O74" s="7"/>
    </row>
    <row r="75" spans="12:15" ht="15.75" customHeight="1" x14ac:dyDescent="0.2">
      <c r="L75" s="6"/>
      <c r="M75" s="6"/>
      <c r="N75" s="7"/>
      <c r="O75" s="7"/>
    </row>
    <row r="76" spans="12:15" ht="15.75" customHeight="1" x14ac:dyDescent="0.2">
      <c r="L76" s="6"/>
      <c r="M76" s="6"/>
      <c r="N76" s="7"/>
      <c r="O76" s="7"/>
    </row>
    <row r="77" spans="12:15" ht="15.75" customHeight="1" x14ac:dyDescent="0.2">
      <c r="L77" s="6"/>
      <c r="M77" s="6"/>
      <c r="N77" s="7"/>
      <c r="O77" s="7"/>
    </row>
    <row r="78" spans="12:15" ht="15.75" customHeight="1" x14ac:dyDescent="0.2">
      <c r="L78" s="6"/>
      <c r="M78" s="6"/>
      <c r="N78" s="7"/>
      <c r="O78" s="7"/>
    </row>
    <row r="79" spans="12:15" ht="15.75" customHeight="1" x14ac:dyDescent="0.2">
      <c r="L79" s="6"/>
      <c r="M79" s="6"/>
      <c r="N79" s="7"/>
      <c r="O79" s="7"/>
    </row>
    <row r="80" spans="12:15" ht="15.75" customHeight="1" x14ac:dyDescent="0.2">
      <c r="L80" s="6"/>
      <c r="M80" s="6"/>
      <c r="N80" s="7"/>
      <c r="O80" s="7"/>
    </row>
    <row r="81" spans="12:15" ht="15.75" customHeight="1" x14ac:dyDescent="0.2">
      <c r="L81" s="6"/>
      <c r="M81" s="6"/>
      <c r="N81" s="7"/>
      <c r="O81" s="7"/>
    </row>
    <row r="82" spans="12:15" ht="15.75" customHeight="1" x14ac:dyDescent="0.2">
      <c r="L82" s="6"/>
      <c r="M82" s="6"/>
      <c r="N82" s="7"/>
      <c r="O82" s="7"/>
    </row>
    <row r="83" spans="12:15" ht="15.75" customHeight="1" x14ac:dyDescent="0.2">
      <c r="L83" s="6"/>
      <c r="M83" s="6"/>
      <c r="N83" s="7"/>
      <c r="O83" s="7"/>
    </row>
    <row r="84" spans="12:15" ht="15.75" customHeight="1" x14ac:dyDescent="0.2">
      <c r="L84" s="6"/>
      <c r="M84" s="6"/>
      <c r="N84" s="7"/>
      <c r="O84" s="7"/>
    </row>
    <row r="85" spans="12:15" ht="15.75" customHeight="1" x14ac:dyDescent="0.2">
      <c r="L85" s="6"/>
      <c r="M85" s="6"/>
      <c r="N85" s="7"/>
      <c r="O85" s="7"/>
    </row>
    <row r="86" spans="12:15" ht="15.75" customHeight="1" x14ac:dyDescent="0.2">
      <c r="L86" s="6"/>
      <c r="M86" s="6"/>
      <c r="N86" s="7"/>
      <c r="O86" s="7"/>
    </row>
    <row r="87" spans="12:15" ht="15.75" customHeight="1" x14ac:dyDescent="0.2">
      <c r="L87" s="6"/>
      <c r="M87" s="6"/>
      <c r="N87" s="7"/>
      <c r="O87" s="7"/>
    </row>
    <row r="88" spans="12:15" ht="15.75" customHeight="1" x14ac:dyDescent="0.2">
      <c r="L88" s="6"/>
      <c r="M88" s="6"/>
      <c r="N88" s="7"/>
      <c r="O88" s="7"/>
    </row>
    <row r="89" spans="12:15" ht="15.75" customHeight="1" x14ac:dyDescent="0.2">
      <c r="L89" s="6"/>
      <c r="M89" s="6"/>
      <c r="N89" s="7"/>
      <c r="O89" s="7"/>
    </row>
    <row r="90" spans="12:15" ht="15.75" customHeight="1" x14ac:dyDescent="0.2">
      <c r="L90" s="6"/>
      <c r="M90" s="6"/>
      <c r="N90" s="7"/>
      <c r="O90" s="7"/>
    </row>
    <row r="91" spans="12:15" ht="15.75" customHeight="1" x14ac:dyDescent="0.2">
      <c r="L91" s="6"/>
      <c r="M91" s="6"/>
      <c r="N91" s="7"/>
      <c r="O91" s="7"/>
    </row>
    <row r="92" spans="12:15" ht="15.75" customHeight="1" x14ac:dyDescent="0.2">
      <c r="L92" s="6"/>
      <c r="M92" s="6"/>
      <c r="N92" s="7"/>
      <c r="O92" s="7"/>
    </row>
    <row r="93" spans="12:15" ht="15.75" customHeight="1" x14ac:dyDescent="0.2">
      <c r="L93" s="6"/>
      <c r="M93" s="6"/>
      <c r="N93" s="7"/>
      <c r="O93" s="7"/>
    </row>
    <row r="94" spans="12:15" ht="15.75" customHeight="1" x14ac:dyDescent="0.2">
      <c r="L94" s="6"/>
      <c r="M94" s="6"/>
      <c r="N94" s="7"/>
      <c r="O94" s="7"/>
    </row>
    <row r="95" spans="12:15" ht="15.75" customHeight="1" x14ac:dyDescent="0.2">
      <c r="L95" s="6"/>
      <c r="M95" s="6"/>
      <c r="N95" s="7"/>
      <c r="O95" s="7"/>
    </row>
    <row r="96" spans="12:15" ht="15.75" customHeight="1" x14ac:dyDescent="0.2">
      <c r="L96" s="6"/>
      <c r="M96" s="6"/>
      <c r="N96" s="7"/>
      <c r="O96" s="7"/>
    </row>
    <row r="97" spans="12:15" ht="15.75" customHeight="1" x14ac:dyDescent="0.2">
      <c r="L97" s="6"/>
      <c r="M97" s="6"/>
      <c r="N97" s="7"/>
      <c r="O97" s="7"/>
    </row>
    <row r="98" spans="12:15" ht="15.75" customHeight="1" x14ac:dyDescent="0.2">
      <c r="L98" s="6"/>
      <c r="M98" s="6"/>
      <c r="N98" s="7"/>
      <c r="O98" s="7"/>
    </row>
    <row r="99" spans="12:15" ht="15.75" customHeight="1" x14ac:dyDescent="0.2">
      <c r="L99" s="6"/>
      <c r="M99" s="6"/>
      <c r="N99" s="7"/>
      <c r="O99" s="7"/>
    </row>
    <row r="100" spans="12:15" ht="15.75" customHeight="1" x14ac:dyDescent="0.2">
      <c r="L100" s="6"/>
      <c r="M100" s="6"/>
      <c r="N100" s="7"/>
      <c r="O100" s="7"/>
    </row>
    <row r="101" spans="12:15" ht="15.75" customHeight="1" x14ac:dyDescent="0.2">
      <c r="L101" s="6"/>
      <c r="M101" s="6"/>
      <c r="N101" s="7"/>
      <c r="O101" s="7"/>
    </row>
    <row r="102" spans="12:15" ht="15.75" customHeight="1" x14ac:dyDescent="0.2">
      <c r="L102" s="6"/>
      <c r="M102" s="6"/>
      <c r="N102" s="7"/>
      <c r="O102" s="7"/>
    </row>
    <row r="103" spans="12:15" ht="15.75" customHeight="1" x14ac:dyDescent="0.2">
      <c r="L103" s="6"/>
      <c r="M103" s="6"/>
      <c r="N103" s="7"/>
      <c r="O103" s="7"/>
    </row>
    <row r="104" spans="12:15" ht="15.75" customHeight="1" x14ac:dyDescent="0.2">
      <c r="L104" s="6"/>
      <c r="M104" s="6"/>
      <c r="N104" s="7"/>
      <c r="O104" s="7"/>
    </row>
    <row r="105" spans="12:15" ht="15.75" customHeight="1" x14ac:dyDescent="0.2">
      <c r="L105" s="6"/>
      <c r="M105" s="6"/>
      <c r="N105" s="7"/>
      <c r="O105" s="7"/>
    </row>
    <row r="106" spans="12:15" ht="15.75" customHeight="1" x14ac:dyDescent="0.2">
      <c r="L106" s="6"/>
      <c r="M106" s="6"/>
      <c r="N106" s="7"/>
      <c r="O106" s="7"/>
    </row>
    <row r="107" spans="12:15" ht="15.75" customHeight="1" x14ac:dyDescent="0.2">
      <c r="L107" s="6"/>
      <c r="M107" s="6"/>
      <c r="N107" s="7"/>
      <c r="O107" s="7"/>
    </row>
    <row r="108" spans="12:15" ht="15.75" customHeight="1" x14ac:dyDescent="0.2">
      <c r="L108" s="6"/>
      <c r="M108" s="6"/>
      <c r="N108" s="7"/>
      <c r="O108" s="7"/>
    </row>
    <row r="109" spans="12:15" ht="15.75" customHeight="1" x14ac:dyDescent="0.2">
      <c r="L109" s="6"/>
      <c r="M109" s="6"/>
      <c r="N109" s="7"/>
      <c r="O109" s="7"/>
    </row>
    <row r="110" spans="12:15" ht="15.75" customHeight="1" x14ac:dyDescent="0.2">
      <c r="L110" s="6"/>
      <c r="M110" s="6"/>
      <c r="N110" s="7"/>
      <c r="O110" s="7"/>
    </row>
    <row r="111" spans="12:15" ht="15.75" customHeight="1" x14ac:dyDescent="0.2">
      <c r="L111" s="6"/>
      <c r="M111" s="6"/>
      <c r="N111" s="7"/>
      <c r="O111" s="7"/>
    </row>
    <row r="112" spans="12:15" ht="15.75" customHeight="1" x14ac:dyDescent="0.2">
      <c r="L112" s="6"/>
      <c r="M112" s="6"/>
      <c r="N112" s="7"/>
      <c r="O112" s="7"/>
    </row>
    <row r="113" spans="12:15" ht="15.75" customHeight="1" x14ac:dyDescent="0.2">
      <c r="L113" s="6"/>
      <c r="M113" s="6"/>
      <c r="N113" s="7"/>
      <c r="O113" s="7"/>
    </row>
    <row r="114" spans="12:15" ht="15.75" customHeight="1" x14ac:dyDescent="0.2">
      <c r="L114" s="6"/>
      <c r="M114" s="6"/>
      <c r="N114" s="7"/>
      <c r="O114" s="7"/>
    </row>
    <row r="115" spans="12:15" ht="15.75" customHeight="1" x14ac:dyDescent="0.2">
      <c r="L115" s="6"/>
      <c r="M115" s="6"/>
      <c r="N115" s="7"/>
      <c r="O115" s="7"/>
    </row>
    <row r="116" spans="12:15" ht="15.75" customHeight="1" x14ac:dyDescent="0.2">
      <c r="L116" s="6"/>
      <c r="M116" s="6"/>
      <c r="N116" s="7"/>
      <c r="O116" s="7"/>
    </row>
    <row r="117" spans="12:15" ht="15.75" customHeight="1" x14ac:dyDescent="0.2">
      <c r="L117" s="6"/>
      <c r="M117" s="6"/>
      <c r="N117" s="7"/>
      <c r="O117" s="7"/>
    </row>
    <row r="118" spans="12:15" ht="15.75" customHeight="1" x14ac:dyDescent="0.2">
      <c r="L118" s="6"/>
      <c r="M118" s="6"/>
      <c r="N118" s="7"/>
      <c r="O118" s="7"/>
    </row>
    <row r="119" spans="12:15" ht="15.75" customHeight="1" x14ac:dyDescent="0.2">
      <c r="L119" s="6"/>
      <c r="M119" s="6"/>
      <c r="N119" s="7"/>
      <c r="O119" s="7"/>
    </row>
    <row r="120" spans="12:15" ht="15.75" customHeight="1" x14ac:dyDescent="0.2">
      <c r="L120" s="6"/>
      <c r="M120" s="6"/>
      <c r="N120" s="7"/>
      <c r="O120" s="7"/>
    </row>
    <row r="121" spans="12:15" ht="15.75" customHeight="1" x14ac:dyDescent="0.2">
      <c r="L121" s="6"/>
      <c r="M121" s="6"/>
      <c r="N121" s="7"/>
      <c r="O121" s="7"/>
    </row>
    <row r="122" spans="12:15" ht="15.75" customHeight="1" x14ac:dyDescent="0.2">
      <c r="L122" s="6"/>
      <c r="M122" s="6"/>
      <c r="N122" s="7"/>
      <c r="O122" s="7"/>
    </row>
    <row r="123" spans="12:15" ht="15.75" customHeight="1" x14ac:dyDescent="0.2">
      <c r="L123" s="6"/>
      <c r="M123" s="6"/>
      <c r="N123" s="7"/>
      <c r="O123" s="7"/>
    </row>
    <row r="124" spans="12:15" ht="15.75" customHeight="1" x14ac:dyDescent="0.2">
      <c r="L124" s="6"/>
      <c r="M124" s="6"/>
      <c r="N124" s="7"/>
      <c r="O124" s="7"/>
    </row>
    <row r="125" spans="12:15" ht="15.75" customHeight="1" x14ac:dyDescent="0.2">
      <c r="L125" s="6"/>
      <c r="M125" s="6"/>
      <c r="N125" s="7"/>
      <c r="O125" s="7"/>
    </row>
    <row r="126" spans="12:15" ht="15.75" customHeight="1" x14ac:dyDescent="0.2">
      <c r="L126" s="6"/>
      <c r="M126" s="6"/>
      <c r="N126" s="7"/>
      <c r="O126" s="7"/>
    </row>
    <row r="127" spans="12:15" ht="15.75" customHeight="1" x14ac:dyDescent="0.2">
      <c r="L127" s="6"/>
      <c r="M127" s="6"/>
      <c r="N127" s="7"/>
      <c r="O127" s="7"/>
    </row>
    <row r="128" spans="12:15" ht="15.75" customHeight="1" x14ac:dyDescent="0.2">
      <c r="L128" s="6"/>
      <c r="M128" s="6"/>
      <c r="N128" s="7"/>
      <c r="O128" s="7"/>
    </row>
    <row r="129" spans="12:15" ht="15.75" customHeight="1" x14ac:dyDescent="0.2">
      <c r="L129" s="6"/>
      <c r="M129" s="6"/>
      <c r="N129" s="7"/>
      <c r="O129" s="7"/>
    </row>
    <row r="130" spans="12:15" ht="15.75" customHeight="1" x14ac:dyDescent="0.2">
      <c r="L130" s="6"/>
      <c r="M130" s="6"/>
      <c r="N130" s="7"/>
      <c r="O130" s="7"/>
    </row>
    <row r="131" spans="12:15" ht="15.75" customHeight="1" x14ac:dyDescent="0.2">
      <c r="L131" s="6"/>
      <c r="M131" s="6"/>
      <c r="N131" s="7"/>
      <c r="O131" s="7"/>
    </row>
    <row r="132" spans="12:15" ht="15.75" customHeight="1" x14ac:dyDescent="0.2">
      <c r="L132" s="6"/>
      <c r="M132" s="6"/>
      <c r="N132" s="7"/>
      <c r="O132" s="7"/>
    </row>
    <row r="133" spans="12:15" ht="15.75" customHeight="1" x14ac:dyDescent="0.2">
      <c r="L133" s="6"/>
      <c r="M133" s="6"/>
      <c r="N133" s="7"/>
      <c r="O133" s="7"/>
    </row>
    <row r="134" spans="12:15" ht="15.75" customHeight="1" x14ac:dyDescent="0.2">
      <c r="L134" s="6"/>
      <c r="M134" s="6"/>
      <c r="N134" s="7"/>
      <c r="O134" s="7"/>
    </row>
    <row r="135" spans="12:15" ht="15.75" customHeight="1" x14ac:dyDescent="0.2">
      <c r="L135" s="6"/>
      <c r="M135" s="6"/>
      <c r="N135" s="7"/>
      <c r="O135" s="7"/>
    </row>
    <row r="136" spans="12:15" ht="15.75" customHeight="1" x14ac:dyDescent="0.2">
      <c r="L136" s="6"/>
      <c r="M136" s="6"/>
      <c r="N136" s="7"/>
      <c r="O136" s="7"/>
    </row>
    <row r="137" spans="12:15" ht="15.75" customHeight="1" x14ac:dyDescent="0.2">
      <c r="L137" s="6"/>
      <c r="M137" s="6"/>
      <c r="N137" s="7"/>
      <c r="O137" s="7"/>
    </row>
    <row r="138" spans="12:15" ht="15.75" customHeight="1" x14ac:dyDescent="0.2">
      <c r="L138" s="6"/>
      <c r="M138" s="6"/>
      <c r="N138" s="7"/>
      <c r="O138" s="7"/>
    </row>
    <row r="139" spans="12:15" ht="15.75" customHeight="1" x14ac:dyDescent="0.2">
      <c r="L139" s="6"/>
      <c r="M139" s="6"/>
      <c r="N139" s="7"/>
      <c r="O139" s="7"/>
    </row>
    <row r="140" spans="12:15" ht="15.75" customHeight="1" x14ac:dyDescent="0.2">
      <c r="L140" s="6"/>
      <c r="M140" s="6"/>
      <c r="N140" s="7"/>
      <c r="O140" s="7"/>
    </row>
    <row r="141" spans="12:15" ht="15.75" customHeight="1" x14ac:dyDescent="0.2">
      <c r="L141" s="6"/>
      <c r="M141" s="6"/>
      <c r="N141" s="7"/>
      <c r="O141" s="7"/>
    </row>
    <row r="142" spans="12:15" ht="15.75" customHeight="1" x14ac:dyDescent="0.2">
      <c r="L142" s="6"/>
      <c r="M142" s="6"/>
      <c r="N142" s="7"/>
      <c r="O142" s="7"/>
    </row>
    <row r="143" spans="12:15" ht="15.75" customHeight="1" x14ac:dyDescent="0.2">
      <c r="L143" s="6"/>
      <c r="M143" s="6"/>
      <c r="N143" s="7"/>
      <c r="O143" s="7"/>
    </row>
    <row r="144" spans="12:15" ht="15.75" customHeight="1" x14ac:dyDescent="0.2">
      <c r="L144" s="6"/>
      <c r="M144" s="6"/>
      <c r="N144" s="7"/>
      <c r="O144" s="7"/>
    </row>
    <row r="145" spans="12:15" ht="15.75" customHeight="1" x14ac:dyDescent="0.2">
      <c r="L145" s="6"/>
      <c r="M145" s="6"/>
      <c r="N145" s="7"/>
      <c r="O145" s="7"/>
    </row>
    <row r="146" spans="12:15" ht="15.75" customHeight="1" x14ac:dyDescent="0.2">
      <c r="L146" s="6"/>
      <c r="M146" s="6"/>
      <c r="N146" s="7"/>
      <c r="O146" s="7"/>
    </row>
    <row r="147" spans="12:15" ht="15.75" customHeight="1" x14ac:dyDescent="0.2">
      <c r="L147" s="6"/>
      <c r="M147" s="6"/>
      <c r="N147" s="7"/>
      <c r="O147" s="7"/>
    </row>
    <row r="148" spans="12:15" ht="15.75" customHeight="1" x14ac:dyDescent="0.2">
      <c r="L148" s="6"/>
      <c r="M148" s="6"/>
      <c r="N148" s="7"/>
      <c r="O148" s="7"/>
    </row>
    <row r="149" spans="12:15" ht="15.75" customHeight="1" x14ac:dyDescent="0.2">
      <c r="L149" s="6"/>
      <c r="M149" s="6"/>
      <c r="N149" s="7"/>
      <c r="O149" s="7"/>
    </row>
    <row r="150" spans="12:15" ht="15.75" customHeight="1" x14ac:dyDescent="0.2">
      <c r="L150" s="6"/>
      <c r="M150" s="6"/>
      <c r="N150" s="7"/>
      <c r="O150" s="7"/>
    </row>
    <row r="151" spans="12:15" ht="15.75" customHeight="1" x14ac:dyDescent="0.2">
      <c r="L151" s="6"/>
      <c r="M151" s="6"/>
      <c r="N151" s="7"/>
      <c r="O151" s="7"/>
    </row>
    <row r="152" spans="12:15" ht="15.75" customHeight="1" x14ac:dyDescent="0.2">
      <c r="L152" s="6"/>
      <c r="M152" s="6"/>
      <c r="N152" s="7"/>
      <c r="O152" s="7"/>
    </row>
    <row r="153" spans="12:15" ht="15.75" customHeight="1" x14ac:dyDescent="0.2">
      <c r="L153" s="6"/>
      <c r="M153" s="6"/>
      <c r="N153" s="7"/>
      <c r="O153" s="7"/>
    </row>
    <row r="154" spans="12:15" ht="15.75" customHeight="1" x14ac:dyDescent="0.2">
      <c r="L154" s="6"/>
      <c r="M154" s="6"/>
      <c r="N154" s="7"/>
      <c r="O154" s="7"/>
    </row>
    <row r="155" spans="12:15" ht="15.75" customHeight="1" x14ac:dyDescent="0.2">
      <c r="L155" s="6"/>
      <c r="M155" s="6"/>
      <c r="N155" s="7"/>
      <c r="O155" s="7"/>
    </row>
    <row r="156" spans="12:15" ht="15.75" customHeight="1" x14ac:dyDescent="0.2">
      <c r="L156" s="6"/>
      <c r="M156" s="6"/>
      <c r="N156" s="7"/>
      <c r="O156" s="7"/>
    </row>
    <row r="157" spans="12:15" ht="15.75" customHeight="1" x14ac:dyDescent="0.2">
      <c r="L157" s="6"/>
      <c r="M157" s="6"/>
      <c r="N157" s="7"/>
      <c r="O157" s="7"/>
    </row>
    <row r="158" spans="12:15" ht="15.75" customHeight="1" x14ac:dyDescent="0.2">
      <c r="L158" s="6"/>
      <c r="M158" s="6"/>
      <c r="N158" s="7"/>
      <c r="O158" s="7"/>
    </row>
    <row r="159" spans="12:15" ht="15.75" customHeight="1" x14ac:dyDescent="0.2">
      <c r="L159" s="6"/>
      <c r="M159" s="6"/>
      <c r="N159" s="7"/>
      <c r="O159" s="7"/>
    </row>
    <row r="160" spans="12:15" ht="15.75" customHeight="1" x14ac:dyDescent="0.2">
      <c r="L160" s="6"/>
      <c r="M160" s="6"/>
      <c r="N160" s="7"/>
      <c r="O160" s="7"/>
    </row>
    <row r="161" spans="12:15" ht="15.75" customHeight="1" x14ac:dyDescent="0.2">
      <c r="L161" s="6"/>
      <c r="M161" s="6"/>
      <c r="N161" s="7"/>
      <c r="O161" s="7"/>
    </row>
    <row r="162" spans="12:15" ht="15.75" customHeight="1" x14ac:dyDescent="0.2">
      <c r="L162" s="6"/>
      <c r="M162" s="6"/>
      <c r="N162" s="7"/>
      <c r="O162" s="7"/>
    </row>
    <row r="163" spans="12:15" ht="15.75" customHeight="1" x14ac:dyDescent="0.2">
      <c r="L163" s="6"/>
      <c r="M163" s="6"/>
      <c r="N163" s="7"/>
      <c r="O163" s="7"/>
    </row>
    <row r="164" spans="12:15" ht="15.75" customHeight="1" x14ac:dyDescent="0.2">
      <c r="L164" s="6"/>
      <c r="M164" s="6"/>
      <c r="N164" s="7"/>
      <c r="O164" s="7"/>
    </row>
    <row r="165" spans="12:15" ht="15.75" customHeight="1" x14ac:dyDescent="0.2">
      <c r="L165" s="6"/>
      <c r="M165" s="6"/>
      <c r="N165" s="7"/>
      <c r="O165" s="7"/>
    </row>
    <row r="166" spans="12:15" ht="15.75" customHeight="1" x14ac:dyDescent="0.2">
      <c r="L166" s="6"/>
      <c r="M166" s="6"/>
      <c r="N166" s="7"/>
      <c r="O166" s="7"/>
    </row>
    <row r="167" spans="12:15" ht="15.75" customHeight="1" x14ac:dyDescent="0.2">
      <c r="L167" s="6"/>
      <c r="M167" s="6"/>
      <c r="N167" s="7"/>
      <c r="O167" s="7"/>
    </row>
    <row r="168" spans="12:15" ht="15.75" customHeight="1" x14ac:dyDescent="0.2">
      <c r="L168" s="6"/>
      <c r="M168" s="6"/>
      <c r="N168" s="7"/>
      <c r="O168" s="7"/>
    </row>
    <row r="169" spans="12:15" ht="15.75" customHeight="1" x14ac:dyDescent="0.2">
      <c r="L169" s="6"/>
      <c r="M169" s="6"/>
      <c r="N169" s="7"/>
      <c r="O169" s="7"/>
    </row>
    <row r="170" spans="12:15" ht="15.75" customHeight="1" x14ac:dyDescent="0.2">
      <c r="L170" s="6"/>
      <c r="M170" s="6"/>
      <c r="N170" s="7"/>
      <c r="O170" s="7"/>
    </row>
    <row r="171" spans="12:15" ht="15.75" customHeight="1" x14ac:dyDescent="0.2">
      <c r="L171" s="6"/>
      <c r="M171" s="6"/>
      <c r="N171" s="7"/>
      <c r="O171" s="7"/>
    </row>
    <row r="172" spans="12:15" ht="15.75" customHeight="1" x14ac:dyDescent="0.2">
      <c r="L172" s="6"/>
      <c r="M172" s="6"/>
      <c r="N172" s="7"/>
      <c r="O172" s="7"/>
    </row>
    <row r="173" spans="12:15" ht="15.75" customHeight="1" x14ac:dyDescent="0.2">
      <c r="L173" s="6"/>
      <c r="M173" s="6"/>
      <c r="N173" s="7"/>
      <c r="O173" s="7"/>
    </row>
    <row r="174" spans="12:15" ht="15.75" customHeight="1" x14ac:dyDescent="0.2">
      <c r="L174" s="6"/>
      <c r="M174" s="6"/>
      <c r="N174" s="7"/>
      <c r="O174" s="7"/>
    </row>
    <row r="175" spans="12:15" ht="15.75" customHeight="1" x14ac:dyDescent="0.2">
      <c r="L175" s="6"/>
      <c r="M175" s="6"/>
      <c r="N175" s="7"/>
      <c r="O175" s="7"/>
    </row>
    <row r="176" spans="12:15" ht="15.75" customHeight="1" x14ac:dyDescent="0.2">
      <c r="L176" s="6"/>
      <c r="M176" s="6"/>
      <c r="N176" s="7"/>
      <c r="O176" s="7"/>
    </row>
    <row r="177" spans="12:15" ht="15.75" customHeight="1" x14ac:dyDescent="0.2">
      <c r="L177" s="6"/>
      <c r="M177" s="6"/>
      <c r="N177" s="7"/>
      <c r="O177" s="7"/>
    </row>
    <row r="178" spans="12:15" ht="15.75" customHeight="1" x14ac:dyDescent="0.2">
      <c r="L178" s="6"/>
      <c r="M178" s="6"/>
      <c r="N178" s="7"/>
      <c r="O178" s="7"/>
    </row>
    <row r="179" spans="12:15" ht="15.75" customHeight="1" x14ac:dyDescent="0.2">
      <c r="L179" s="6"/>
      <c r="M179" s="6"/>
      <c r="N179" s="7"/>
      <c r="O179" s="7"/>
    </row>
    <row r="180" spans="12:15" ht="15.75" customHeight="1" x14ac:dyDescent="0.2">
      <c r="L180" s="6"/>
      <c r="M180" s="6"/>
      <c r="N180" s="7"/>
      <c r="O180" s="7"/>
    </row>
    <row r="181" spans="12:15" ht="15.75" customHeight="1" x14ac:dyDescent="0.2">
      <c r="L181" s="6"/>
      <c r="M181" s="6"/>
      <c r="N181" s="7"/>
      <c r="O181" s="7"/>
    </row>
    <row r="182" spans="12:15" ht="15.75" customHeight="1" x14ac:dyDescent="0.2">
      <c r="L182" s="6"/>
      <c r="M182" s="6"/>
      <c r="N182" s="7"/>
      <c r="O182" s="7"/>
    </row>
    <row r="183" spans="12:15" ht="15.75" customHeight="1" x14ac:dyDescent="0.2">
      <c r="L183" s="6"/>
      <c r="M183" s="6"/>
      <c r="N183" s="7"/>
      <c r="O183" s="7"/>
    </row>
    <row r="184" spans="12:15" ht="15.75" customHeight="1" x14ac:dyDescent="0.2">
      <c r="L184" s="6"/>
      <c r="M184" s="6"/>
      <c r="N184" s="7"/>
      <c r="O184" s="7"/>
    </row>
    <row r="185" spans="12:15" ht="15.75" customHeight="1" x14ac:dyDescent="0.2">
      <c r="L185" s="6"/>
      <c r="M185" s="6"/>
      <c r="N185" s="7"/>
      <c r="O185" s="7"/>
    </row>
    <row r="186" spans="12:15" ht="15.75" customHeight="1" x14ac:dyDescent="0.2">
      <c r="L186" s="6"/>
      <c r="M186" s="6"/>
      <c r="N186" s="7"/>
      <c r="O186" s="7"/>
    </row>
    <row r="187" spans="12:15" ht="15.75" customHeight="1" x14ac:dyDescent="0.2">
      <c r="L187" s="6"/>
      <c r="M187" s="6"/>
      <c r="N187" s="7"/>
      <c r="O187" s="7"/>
    </row>
    <row r="188" spans="12:15" ht="15.75" customHeight="1" x14ac:dyDescent="0.2">
      <c r="L188" s="6"/>
      <c r="M188" s="6"/>
      <c r="N188" s="7"/>
      <c r="O188" s="7"/>
    </row>
    <row r="189" spans="12:15" ht="15.75" customHeight="1" x14ac:dyDescent="0.2">
      <c r="L189" s="6"/>
      <c r="M189" s="6"/>
      <c r="N189" s="7"/>
      <c r="O189" s="7"/>
    </row>
    <row r="190" spans="12:15" ht="15.75" customHeight="1" x14ac:dyDescent="0.2">
      <c r="L190" s="6"/>
      <c r="M190" s="6"/>
      <c r="N190" s="7"/>
      <c r="O190" s="7"/>
    </row>
    <row r="191" spans="12:15" ht="15.75" customHeight="1" x14ac:dyDescent="0.2">
      <c r="L191" s="6"/>
      <c r="M191" s="6"/>
      <c r="N191" s="7"/>
      <c r="O191" s="7"/>
    </row>
    <row r="192" spans="12:15" ht="15.75" customHeight="1" x14ac:dyDescent="0.2">
      <c r="L192" s="6"/>
      <c r="M192" s="6"/>
      <c r="N192" s="7"/>
      <c r="O192" s="7"/>
    </row>
    <row r="193" spans="12:15" ht="15.75" customHeight="1" x14ac:dyDescent="0.2">
      <c r="L193" s="6"/>
      <c r="M193" s="6"/>
      <c r="N193" s="7"/>
      <c r="O193" s="7"/>
    </row>
    <row r="194" spans="12:15" ht="15.75" customHeight="1" x14ac:dyDescent="0.2">
      <c r="L194" s="6"/>
      <c r="M194" s="6"/>
      <c r="N194" s="7"/>
      <c r="O194" s="7"/>
    </row>
    <row r="195" spans="12:15" ht="15.75" customHeight="1" x14ac:dyDescent="0.2">
      <c r="L195" s="6"/>
      <c r="M195" s="6"/>
      <c r="N195" s="7"/>
      <c r="O195" s="7"/>
    </row>
    <row r="196" spans="12:15" ht="15.75" customHeight="1" x14ac:dyDescent="0.2">
      <c r="L196" s="6"/>
      <c r="M196" s="6"/>
      <c r="N196" s="7"/>
      <c r="O196" s="7"/>
    </row>
    <row r="197" spans="12:15" ht="15.75" customHeight="1" x14ac:dyDescent="0.2">
      <c r="L197" s="6"/>
      <c r="M197" s="6"/>
      <c r="N197" s="7"/>
      <c r="O197" s="7"/>
    </row>
    <row r="198" spans="12:15" ht="15.75" customHeight="1" x14ac:dyDescent="0.2">
      <c r="L198" s="6"/>
      <c r="M198" s="6"/>
      <c r="N198" s="7"/>
      <c r="O198" s="7"/>
    </row>
    <row r="199" spans="12:15" ht="15.75" customHeight="1" x14ac:dyDescent="0.2">
      <c r="L199" s="6"/>
      <c r="M199" s="6"/>
      <c r="N199" s="7"/>
      <c r="O199" s="7"/>
    </row>
    <row r="200" spans="12:15" ht="15.75" customHeight="1" x14ac:dyDescent="0.2">
      <c r="L200" s="6"/>
      <c r="M200" s="6"/>
      <c r="N200" s="7"/>
      <c r="O200" s="7"/>
    </row>
    <row r="201" spans="12:15" ht="15.75" customHeight="1" x14ac:dyDescent="0.2">
      <c r="L201" s="6"/>
      <c r="M201" s="6"/>
      <c r="N201" s="7"/>
      <c r="O201" s="7"/>
    </row>
    <row r="202" spans="12:15" ht="15.75" customHeight="1" x14ac:dyDescent="0.2">
      <c r="L202" s="6"/>
      <c r="M202" s="6"/>
      <c r="N202" s="7"/>
      <c r="O202" s="7"/>
    </row>
    <row r="203" spans="12:15" ht="15.75" customHeight="1" x14ac:dyDescent="0.2">
      <c r="L203" s="6"/>
      <c r="M203" s="6"/>
      <c r="N203" s="7"/>
      <c r="O203" s="7"/>
    </row>
    <row r="204" spans="12:15" ht="15.75" customHeight="1" x14ac:dyDescent="0.2">
      <c r="L204" s="6"/>
      <c r="M204" s="6"/>
      <c r="N204" s="7"/>
      <c r="O204" s="7"/>
    </row>
    <row r="205" spans="12:15" ht="15.75" customHeight="1" x14ac:dyDescent="0.2">
      <c r="L205" s="6"/>
      <c r="M205" s="6"/>
      <c r="N205" s="7"/>
      <c r="O205" s="7"/>
    </row>
    <row r="206" spans="12:15" ht="15.75" customHeight="1" x14ac:dyDescent="0.2">
      <c r="L206" s="6"/>
      <c r="M206" s="6"/>
      <c r="N206" s="7"/>
      <c r="O206" s="7"/>
    </row>
    <row r="207" spans="12:15" ht="15.75" customHeight="1" x14ac:dyDescent="0.2">
      <c r="L207" s="6"/>
      <c r="M207" s="6"/>
      <c r="N207" s="7"/>
      <c r="O207" s="7"/>
    </row>
    <row r="208" spans="12:15" ht="15.75" customHeight="1" x14ac:dyDescent="0.2">
      <c r="L208" s="6"/>
      <c r="M208" s="6"/>
      <c r="N208" s="7"/>
      <c r="O208" s="7"/>
    </row>
    <row r="209" spans="12:15" ht="15.75" customHeight="1" x14ac:dyDescent="0.2">
      <c r="L209" s="6"/>
      <c r="M209" s="6"/>
      <c r="N209" s="7"/>
      <c r="O209" s="7"/>
    </row>
    <row r="210" spans="12:15" ht="15.75" customHeight="1" x14ac:dyDescent="0.2">
      <c r="L210" s="6"/>
      <c r="M210" s="6"/>
      <c r="N210" s="7"/>
      <c r="O210" s="7"/>
    </row>
    <row r="211" spans="12:15" ht="15.75" customHeight="1" x14ac:dyDescent="0.2">
      <c r="L211" s="6"/>
      <c r="M211" s="6"/>
      <c r="N211" s="7"/>
      <c r="O211" s="7"/>
    </row>
    <row r="212" spans="12:15" ht="15.75" customHeight="1" x14ac:dyDescent="0.2">
      <c r="L212" s="6"/>
      <c r="M212" s="6"/>
      <c r="N212" s="7"/>
      <c r="O212" s="7"/>
    </row>
    <row r="213" spans="12:15" ht="15.75" customHeight="1" x14ac:dyDescent="0.2">
      <c r="L213" s="6"/>
      <c r="M213" s="6"/>
      <c r="N213" s="7"/>
      <c r="O213" s="7"/>
    </row>
    <row r="214" spans="12:15" ht="15.75" customHeight="1" x14ac:dyDescent="0.2">
      <c r="L214" s="6"/>
      <c r="M214" s="6"/>
      <c r="N214" s="7"/>
      <c r="O214" s="7"/>
    </row>
    <row r="215" spans="12:15" ht="15.75" customHeight="1" x14ac:dyDescent="0.2">
      <c r="L215" s="6"/>
      <c r="M215" s="6"/>
      <c r="N215" s="7"/>
      <c r="O215" s="7"/>
    </row>
    <row r="216" spans="12:15" ht="15.75" customHeight="1" x14ac:dyDescent="0.2">
      <c r="L216" s="6"/>
      <c r="M216" s="6"/>
      <c r="N216" s="7"/>
      <c r="O216" s="7"/>
    </row>
    <row r="217" spans="12:15" ht="15.75" customHeight="1" x14ac:dyDescent="0.2">
      <c r="L217" s="6"/>
      <c r="M217" s="6"/>
      <c r="N217" s="7"/>
      <c r="O217" s="7"/>
    </row>
    <row r="218" spans="12:15" ht="15.75" customHeight="1" x14ac:dyDescent="0.2">
      <c r="L218" s="6"/>
      <c r="M218" s="6"/>
      <c r="N218" s="7"/>
      <c r="O218" s="7"/>
    </row>
    <row r="219" spans="12:15" ht="15.75" customHeight="1" x14ac:dyDescent="0.2">
      <c r="L219" s="6"/>
      <c r="M219" s="6"/>
      <c r="N219" s="7"/>
      <c r="O219" s="7"/>
    </row>
    <row r="220" spans="12:15" ht="15.75" customHeight="1" x14ac:dyDescent="0.2">
      <c r="L220" s="6"/>
      <c r="M220" s="6"/>
      <c r="N220" s="7"/>
      <c r="O220" s="7"/>
    </row>
    <row r="221" spans="12:15" ht="15.75" customHeight="1" x14ac:dyDescent="0.2">
      <c r="L221" s="6"/>
      <c r="M221" s="6"/>
      <c r="N221" s="7"/>
      <c r="O221" s="7"/>
    </row>
    <row r="222" spans="12:15" ht="15.75" customHeight="1" x14ac:dyDescent="0.2">
      <c r="L222" s="6"/>
      <c r="M222" s="6"/>
      <c r="N222" s="7"/>
      <c r="O222" s="7"/>
    </row>
    <row r="223" spans="12:15" ht="15.75" customHeight="1" x14ac:dyDescent="0.2">
      <c r="L223" s="6"/>
      <c r="M223" s="6"/>
      <c r="N223" s="7"/>
      <c r="O223" s="7"/>
    </row>
    <row r="224" spans="12:15" ht="15.75" customHeight="1" x14ac:dyDescent="0.2">
      <c r="L224" s="6"/>
      <c r="M224" s="6"/>
      <c r="N224" s="7"/>
      <c r="O224" s="7"/>
    </row>
    <row r="225" spans="12:15" ht="15.75" customHeight="1" x14ac:dyDescent="0.2">
      <c r="L225" s="6"/>
      <c r="M225" s="6"/>
      <c r="N225" s="7"/>
      <c r="O225" s="7"/>
    </row>
    <row r="226" spans="12:15" ht="15.75" customHeight="1" x14ac:dyDescent="0.2">
      <c r="L226" s="6"/>
      <c r="M226" s="6"/>
      <c r="N226" s="7"/>
      <c r="O226" s="7"/>
    </row>
    <row r="227" spans="12:15" ht="15.75" customHeight="1" x14ac:dyDescent="0.2">
      <c r="L227" s="6"/>
      <c r="M227" s="6"/>
      <c r="N227" s="7"/>
      <c r="O227" s="7"/>
    </row>
    <row r="228" spans="12:15" ht="15.75" customHeight="1" x14ac:dyDescent="0.2">
      <c r="L228" s="6"/>
      <c r="M228" s="6"/>
      <c r="N228" s="7"/>
      <c r="O228" s="7"/>
    </row>
    <row r="229" spans="12:15" ht="15.75" customHeight="1" x14ac:dyDescent="0.2">
      <c r="L229" s="6"/>
      <c r="M229" s="6"/>
      <c r="N229" s="7"/>
      <c r="O229" s="7"/>
    </row>
    <row r="230" spans="12:15" ht="15.75" customHeight="1" x14ac:dyDescent="0.2">
      <c r="L230" s="6"/>
      <c r="M230" s="6"/>
      <c r="N230" s="7"/>
      <c r="O230" s="7"/>
    </row>
    <row r="231" spans="12:15" ht="15.75" customHeight="1" x14ac:dyDescent="0.2">
      <c r="L231" s="6"/>
      <c r="M231" s="6"/>
      <c r="N231" s="7"/>
      <c r="O231" s="7"/>
    </row>
    <row r="232" spans="12:15" ht="15.75" customHeight="1" x14ac:dyDescent="0.2">
      <c r="L232" s="6"/>
      <c r="M232" s="6"/>
      <c r="N232" s="7"/>
      <c r="O232" s="7"/>
    </row>
    <row r="233" spans="12:15" ht="15.75" customHeight="1" x14ac:dyDescent="0.2">
      <c r="L233" s="6"/>
      <c r="M233" s="6"/>
      <c r="N233" s="7"/>
      <c r="O233" s="7"/>
    </row>
    <row r="234" spans="12:15" ht="15.75" customHeight="1" x14ac:dyDescent="0.2">
      <c r="L234" s="6"/>
      <c r="M234" s="6"/>
      <c r="N234" s="7"/>
      <c r="O234" s="7"/>
    </row>
    <row r="235" spans="12:15" ht="15.75" customHeight="1" x14ac:dyDescent="0.2">
      <c r="L235" s="6"/>
      <c r="M235" s="6"/>
      <c r="N235" s="7"/>
      <c r="O235" s="7"/>
    </row>
    <row r="236" spans="12:15" ht="15.75" customHeight="1" x14ac:dyDescent="0.2">
      <c r="L236" s="6"/>
      <c r="M236" s="6"/>
      <c r="N236" s="7"/>
      <c r="O236" s="7"/>
    </row>
    <row r="237" spans="12:15" ht="15.75" customHeight="1" x14ac:dyDescent="0.2">
      <c r="L237" s="6"/>
      <c r="M237" s="6"/>
      <c r="N237" s="7"/>
      <c r="O237" s="7"/>
    </row>
    <row r="238" spans="12:15" ht="15.75" customHeight="1" x14ac:dyDescent="0.2">
      <c r="L238" s="6"/>
      <c r="M238" s="6"/>
      <c r="N238" s="7"/>
      <c r="O238" s="7"/>
    </row>
    <row r="239" spans="12:15" ht="15.75" customHeight="1" x14ac:dyDescent="0.2">
      <c r="L239" s="6"/>
      <c r="M239" s="6"/>
      <c r="N239" s="7"/>
      <c r="O239" s="7"/>
    </row>
    <row r="240" spans="12:15" ht="15.75" customHeight="1" x14ac:dyDescent="0.2">
      <c r="L240" s="6"/>
      <c r="M240" s="6"/>
      <c r="N240" s="7"/>
      <c r="O240" s="7"/>
    </row>
    <row r="241" spans="12:15" ht="15.75" customHeight="1" x14ac:dyDescent="0.2">
      <c r="L241" s="6"/>
      <c r="M241" s="6"/>
      <c r="N241" s="7"/>
      <c r="O241" s="7"/>
    </row>
    <row r="242" spans="12:15" ht="15.75" customHeight="1" x14ac:dyDescent="0.2">
      <c r="L242" s="6"/>
      <c r="M242" s="6"/>
      <c r="N242" s="7"/>
      <c r="O242" s="7"/>
    </row>
    <row r="243" spans="12:15" ht="15.75" customHeight="1" x14ac:dyDescent="0.2">
      <c r="L243" s="6"/>
      <c r="M243" s="6"/>
      <c r="N243" s="7"/>
      <c r="O243" s="7"/>
    </row>
    <row r="244" spans="12:15" ht="15.75" customHeight="1" x14ac:dyDescent="0.2">
      <c r="L244" s="6"/>
      <c r="M244" s="6"/>
      <c r="N244" s="7"/>
      <c r="O244" s="7"/>
    </row>
    <row r="245" spans="12:15" ht="15.75" customHeight="1" x14ac:dyDescent="0.2">
      <c r="L245" s="6"/>
      <c r="M245" s="6"/>
      <c r="N245" s="7"/>
      <c r="O245" s="7"/>
    </row>
    <row r="246" spans="12:15" ht="15.75" customHeight="1" x14ac:dyDescent="0.2">
      <c r="L246" s="6"/>
      <c r="M246" s="6"/>
      <c r="N246" s="7"/>
      <c r="O246" s="7"/>
    </row>
    <row r="247" spans="12:15" ht="15.75" customHeight="1" x14ac:dyDescent="0.2">
      <c r="L247" s="6"/>
      <c r="M247" s="6"/>
      <c r="N247" s="7"/>
      <c r="O247" s="7"/>
    </row>
    <row r="248" spans="12:15" ht="15.75" customHeight="1" x14ac:dyDescent="0.2">
      <c r="L248" s="6"/>
      <c r="M248" s="6"/>
      <c r="N248" s="7"/>
      <c r="O248" s="7"/>
    </row>
    <row r="249" spans="12:15" ht="15.75" customHeight="1" x14ac:dyDescent="0.2">
      <c r="L249" s="6"/>
      <c r="M249" s="6"/>
      <c r="N249" s="7"/>
      <c r="O249" s="7"/>
    </row>
    <row r="250" spans="12:15" ht="15.75" customHeight="1" x14ac:dyDescent="0.2">
      <c r="L250" s="6"/>
      <c r="M250" s="6"/>
      <c r="N250" s="7"/>
      <c r="O250" s="7"/>
    </row>
    <row r="251" spans="12:15" ht="15.75" customHeight="1" x14ac:dyDescent="0.2">
      <c r="L251" s="6"/>
      <c r="M251" s="6"/>
      <c r="N251" s="7"/>
      <c r="O251" s="7"/>
    </row>
    <row r="252" spans="12:15" ht="15.75" customHeight="1" x14ac:dyDescent="0.2">
      <c r="L252" s="6"/>
      <c r="M252" s="6"/>
      <c r="N252" s="7"/>
      <c r="O252" s="7"/>
    </row>
    <row r="253" spans="12:15" ht="15.75" customHeight="1" x14ac:dyDescent="0.2">
      <c r="L253" s="6"/>
      <c r="M253" s="6"/>
      <c r="N253" s="7"/>
      <c r="O253" s="7"/>
    </row>
    <row r="254" spans="12:15" ht="15.75" customHeight="1" x14ac:dyDescent="0.2">
      <c r="L254" s="6"/>
      <c r="M254" s="6"/>
      <c r="N254" s="7"/>
      <c r="O254" s="7"/>
    </row>
    <row r="255" spans="12:15" ht="15.75" customHeight="1" x14ac:dyDescent="0.2">
      <c r="L255" s="6"/>
      <c r="M255" s="6"/>
      <c r="N255" s="7"/>
      <c r="O255" s="7"/>
    </row>
    <row r="256" spans="12:15" ht="15.75" customHeight="1" x14ac:dyDescent="0.2">
      <c r="L256" s="6"/>
      <c r="M256" s="6"/>
      <c r="N256" s="7"/>
      <c r="O256" s="7"/>
    </row>
    <row r="257" spans="12:15" ht="15.75" customHeight="1" x14ac:dyDescent="0.2">
      <c r="L257" s="6"/>
      <c r="M257" s="6"/>
      <c r="N257" s="7"/>
      <c r="O257" s="7"/>
    </row>
    <row r="258" spans="12:15" ht="15.75" customHeight="1" x14ac:dyDescent="0.2">
      <c r="L258" s="6"/>
      <c r="M258" s="6"/>
      <c r="N258" s="7"/>
      <c r="O258" s="7"/>
    </row>
    <row r="259" spans="12:15" ht="15.75" customHeight="1" x14ac:dyDescent="0.2">
      <c r="L259" s="6"/>
      <c r="M259" s="6"/>
      <c r="N259" s="7"/>
      <c r="O259" s="7"/>
    </row>
    <row r="260" spans="12:15" ht="15.75" customHeight="1" x14ac:dyDescent="0.2">
      <c r="L260" s="6"/>
      <c r="M260" s="6"/>
      <c r="N260" s="7"/>
      <c r="O260" s="7"/>
    </row>
    <row r="261" spans="12:15" ht="15.75" customHeight="1" x14ac:dyDescent="0.2">
      <c r="L261" s="6"/>
      <c r="M261" s="6"/>
      <c r="N261" s="7"/>
      <c r="O261" s="7"/>
    </row>
    <row r="262" spans="12:15" ht="15.75" customHeight="1" x14ac:dyDescent="0.2">
      <c r="L262" s="6"/>
      <c r="M262" s="6"/>
      <c r="N262" s="7"/>
      <c r="O262" s="7"/>
    </row>
    <row r="263" spans="12:15" ht="15.75" customHeight="1" x14ac:dyDescent="0.2">
      <c r="L263" s="6"/>
      <c r="M263" s="6"/>
      <c r="N263" s="7"/>
      <c r="O263" s="7"/>
    </row>
    <row r="264" spans="12:15" ht="15.75" customHeight="1" x14ac:dyDescent="0.2">
      <c r="L264" s="6"/>
      <c r="M264" s="6"/>
      <c r="N264" s="7"/>
      <c r="O264" s="7"/>
    </row>
    <row r="265" spans="12:15" ht="15.75" customHeight="1" x14ac:dyDescent="0.2">
      <c r="L265" s="6"/>
      <c r="M265" s="6"/>
      <c r="N265" s="7"/>
      <c r="O265" s="7"/>
    </row>
    <row r="266" spans="12:15" ht="15.75" customHeight="1" x14ac:dyDescent="0.2">
      <c r="L266" s="6"/>
      <c r="M266" s="6"/>
      <c r="N266" s="7"/>
      <c r="O266" s="7"/>
    </row>
    <row r="267" spans="12:15" ht="15.75" customHeight="1" x14ac:dyDescent="0.2">
      <c r="L267" s="6"/>
      <c r="M267" s="6"/>
      <c r="N267" s="7"/>
      <c r="O267" s="7"/>
    </row>
    <row r="268" spans="12:15" ht="15.75" customHeight="1" x14ac:dyDescent="0.2">
      <c r="L268" s="6"/>
      <c r="M268" s="6"/>
      <c r="N268" s="7"/>
      <c r="O268" s="7"/>
    </row>
    <row r="269" spans="12:15" ht="15.75" customHeight="1" x14ac:dyDescent="0.2">
      <c r="L269" s="6"/>
      <c r="M269" s="6"/>
      <c r="N269" s="7"/>
      <c r="O269" s="7"/>
    </row>
    <row r="270" spans="12:15" ht="15.75" customHeight="1" x14ac:dyDescent="0.2">
      <c r="L270" s="6"/>
      <c r="M270" s="6"/>
      <c r="N270" s="7"/>
      <c r="O270" s="7"/>
    </row>
    <row r="271" spans="12:15" ht="15.75" customHeight="1" x14ac:dyDescent="0.2">
      <c r="L271" s="6"/>
      <c r="M271" s="6"/>
      <c r="N271" s="7"/>
      <c r="O271" s="7"/>
    </row>
    <row r="272" spans="12:15" ht="15.75" customHeight="1" x14ac:dyDescent="0.2">
      <c r="L272" s="6"/>
      <c r="M272" s="6"/>
      <c r="N272" s="7"/>
      <c r="O272" s="7"/>
    </row>
    <row r="273" spans="12:15" ht="15.75" customHeight="1" x14ac:dyDescent="0.2">
      <c r="L273" s="6"/>
      <c r="M273" s="6"/>
      <c r="N273" s="7"/>
      <c r="O273" s="7"/>
    </row>
    <row r="274" spans="12:15" ht="15.75" customHeight="1" x14ac:dyDescent="0.2">
      <c r="L274" s="6"/>
      <c r="M274" s="6"/>
      <c r="N274" s="7"/>
      <c r="O274" s="7"/>
    </row>
    <row r="275" spans="12:15" ht="15.75" customHeight="1" x14ac:dyDescent="0.2">
      <c r="L275" s="6"/>
      <c r="M275" s="6"/>
      <c r="N275" s="7"/>
      <c r="O275" s="7"/>
    </row>
    <row r="276" spans="12:15" ht="15.75" customHeight="1" x14ac:dyDescent="0.2">
      <c r="L276" s="6"/>
      <c r="M276" s="6"/>
      <c r="N276" s="7"/>
      <c r="O276" s="7"/>
    </row>
    <row r="277" spans="12:15" ht="15.75" customHeight="1" x14ac:dyDescent="0.2">
      <c r="L277" s="6"/>
      <c r="M277" s="6"/>
      <c r="N277" s="7"/>
      <c r="O277" s="7"/>
    </row>
    <row r="278" spans="12:15" ht="15.75" customHeight="1" x14ac:dyDescent="0.2">
      <c r="L278" s="6"/>
      <c r="M278" s="6"/>
      <c r="N278" s="7"/>
      <c r="O278" s="7"/>
    </row>
    <row r="279" spans="12:15" ht="15.75" customHeight="1" x14ac:dyDescent="0.2">
      <c r="L279" s="6"/>
      <c r="M279" s="6"/>
      <c r="N279" s="7"/>
      <c r="O279" s="7"/>
    </row>
    <row r="280" spans="12:15" ht="15.75" customHeight="1" x14ac:dyDescent="0.2">
      <c r="L280" s="6"/>
      <c r="M280" s="6"/>
      <c r="N280" s="7"/>
      <c r="O280" s="7"/>
    </row>
    <row r="281" spans="12:15" ht="15.75" customHeight="1" x14ac:dyDescent="0.2">
      <c r="L281" s="6"/>
      <c r="M281" s="6"/>
      <c r="N281" s="7"/>
      <c r="O281" s="7"/>
    </row>
    <row r="282" spans="12:15" ht="15.75" customHeight="1" x14ac:dyDescent="0.2">
      <c r="L282" s="6"/>
      <c r="M282" s="6"/>
      <c r="N282" s="7"/>
      <c r="O282" s="7"/>
    </row>
    <row r="283" spans="12:15" ht="15.75" customHeight="1" x14ac:dyDescent="0.2">
      <c r="L283" s="6"/>
      <c r="M283" s="6"/>
      <c r="N283" s="7"/>
      <c r="O283" s="7"/>
    </row>
    <row r="284" spans="12:15" ht="15.75" customHeight="1" x14ac:dyDescent="0.2">
      <c r="L284" s="6"/>
      <c r="M284" s="6"/>
      <c r="N284" s="7"/>
      <c r="O284" s="7"/>
    </row>
    <row r="285" spans="12:15" ht="15.75" customHeight="1" x14ac:dyDescent="0.2">
      <c r="L285" s="6"/>
      <c r="M285" s="6"/>
      <c r="N285" s="7"/>
      <c r="O285" s="7"/>
    </row>
    <row r="286" spans="12:15" ht="15.75" customHeight="1" x14ac:dyDescent="0.2">
      <c r="L286" s="6"/>
      <c r="M286" s="6"/>
      <c r="N286" s="7"/>
      <c r="O286" s="7"/>
    </row>
    <row r="287" spans="12:15" ht="15.75" customHeight="1" x14ac:dyDescent="0.2">
      <c r="L287" s="6"/>
      <c r="M287" s="6"/>
      <c r="N287" s="7"/>
      <c r="O287" s="7"/>
    </row>
    <row r="288" spans="12:15" ht="15.75" customHeight="1" x14ac:dyDescent="0.2">
      <c r="L288" s="6"/>
      <c r="M288" s="6"/>
      <c r="N288" s="7"/>
      <c r="O288" s="7"/>
    </row>
    <row r="289" spans="12:15" ht="15.75" customHeight="1" x14ac:dyDescent="0.2">
      <c r="L289" s="6"/>
      <c r="M289" s="6"/>
      <c r="N289" s="7"/>
      <c r="O289" s="7"/>
    </row>
    <row r="290" spans="12:15" ht="15.75" customHeight="1" x14ac:dyDescent="0.2">
      <c r="L290" s="6"/>
      <c r="M290" s="6"/>
      <c r="N290" s="7"/>
      <c r="O290" s="7"/>
    </row>
    <row r="291" spans="12:15" ht="15.75" customHeight="1" x14ac:dyDescent="0.2">
      <c r="L291" s="6"/>
      <c r="M291" s="6"/>
      <c r="N291" s="7"/>
      <c r="O291" s="7"/>
    </row>
    <row r="292" spans="12:15" ht="15.75" customHeight="1" x14ac:dyDescent="0.2">
      <c r="L292" s="6"/>
      <c r="M292" s="6"/>
      <c r="N292" s="7"/>
      <c r="O292" s="7"/>
    </row>
    <row r="293" spans="12:15" ht="15.75" customHeight="1" x14ac:dyDescent="0.2">
      <c r="L293" s="6"/>
      <c r="M293" s="6"/>
      <c r="N293" s="7"/>
      <c r="O293" s="7"/>
    </row>
    <row r="294" spans="12:15" ht="15.75" customHeight="1" x14ac:dyDescent="0.2">
      <c r="L294" s="6"/>
      <c r="M294" s="6"/>
      <c r="N294" s="7"/>
      <c r="O294" s="7"/>
    </row>
    <row r="295" spans="12:15" ht="15.75" customHeight="1" x14ac:dyDescent="0.2">
      <c r="L295" s="6"/>
      <c r="M295" s="6"/>
      <c r="N295" s="7"/>
      <c r="O295" s="7"/>
    </row>
    <row r="296" spans="12:15" ht="15.75" customHeight="1" x14ac:dyDescent="0.2">
      <c r="L296" s="6"/>
      <c r="M296" s="6"/>
      <c r="N296" s="7"/>
      <c r="O296" s="7"/>
    </row>
    <row r="297" spans="12:15" ht="15.75" customHeight="1" x14ac:dyDescent="0.2">
      <c r="L297" s="6"/>
      <c r="M297" s="6"/>
      <c r="N297" s="7"/>
      <c r="O297" s="7"/>
    </row>
    <row r="298" spans="12:15" ht="15.75" customHeight="1" x14ac:dyDescent="0.2">
      <c r="L298" s="6"/>
      <c r="M298" s="6"/>
      <c r="N298" s="7"/>
      <c r="O298" s="7"/>
    </row>
    <row r="299" spans="12:15" ht="15.75" customHeight="1" x14ac:dyDescent="0.2">
      <c r="L299" s="6"/>
      <c r="M299" s="6"/>
      <c r="N299" s="7"/>
      <c r="O299" s="7"/>
    </row>
    <row r="300" spans="12:15" ht="15.75" customHeight="1" x14ac:dyDescent="0.2">
      <c r="L300" s="6"/>
      <c r="M300" s="6"/>
      <c r="N300" s="7"/>
      <c r="O300" s="7"/>
    </row>
    <row r="301" spans="12:15" ht="15.75" customHeight="1" x14ac:dyDescent="0.2">
      <c r="L301" s="6"/>
      <c r="M301" s="6"/>
      <c r="N301" s="7"/>
      <c r="O301" s="7"/>
    </row>
    <row r="302" spans="12:15" ht="15.75" customHeight="1" x14ac:dyDescent="0.2">
      <c r="L302" s="6"/>
      <c r="M302" s="6"/>
      <c r="N302" s="7"/>
      <c r="O302" s="7"/>
    </row>
    <row r="303" spans="12:15" ht="15.75" customHeight="1" x14ac:dyDescent="0.2">
      <c r="L303" s="6"/>
      <c r="M303" s="6"/>
      <c r="N303" s="7"/>
      <c r="O303" s="7"/>
    </row>
    <row r="304" spans="12:15" ht="15.75" customHeight="1" x14ac:dyDescent="0.2">
      <c r="L304" s="6"/>
      <c r="M304" s="6"/>
      <c r="N304" s="7"/>
      <c r="O304" s="7"/>
    </row>
    <row r="305" spans="12:15" ht="15.75" customHeight="1" x14ac:dyDescent="0.2">
      <c r="L305" s="6"/>
      <c r="M305" s="6"/>
      <c r="N305" s="7"/>
      <c r="O305" s="7"/>
    </row>
    <row r="306" spans="12:15" ht="15.75" customHeight="1" x14ac:dyDescent="0.2">
      <c r="L306" s="6"/>
      <c r="M306" s="6"/>
      <c r="N306" s="7"/>
      <c r="O306" s="7"/>
    </row>
    <row r="307" spans="12:15" ht="15.75" customHeight="1" x14ac:dyDescent="0.2">
      <c r="L307" s="6"/>
      <c r="M307" s="6"/>
      <c r="N307" s="7"/>
      <c r="O307" s="7"/>
    </row>
    <row r="308" spans="12:15" ht="15.75" customHeight="1" x14ac:dyDescent="0.2">
      <c r="L308" s="6"/>
      <c r="M308" s="6"/>
      <c r="N308" s="7"/>
      <c r="O308" s="7"/>
    </row>
    <row r="309" spans="12:15" ht="15.75" customHeight="1" x14ac:dyDescent="0.2">
      <c r="L309" s="6"/>
      <c r="M309" s="6"/>
      <c r="N309" s="7"/>
      <c r="O309" s="7"/>
    </row>
    <row r="310" spans="12:15" ht="15.75" customHeight="1" x14ac:dyDescent="0.2">
      <c r="L310" s="6"/>
      <c r="M310" s="6"/>
      <c r="N310" s="7"/>
      <c r="O310" s="7"/>
    </row>
    <row r="311" spans="12:15" ht="15.75" customHeight="1" x14ac:dyDescent="0.2">
      <c r="L311" s="6"/>
      <c r="M311" s="6"/>
      <c r="N311" s="7"/>
      <c r="O311" s="7"/>
    </row>
    <row r="312" spans="12:15" ht="15.75" customHeight="1" x14ac:dyDescent="0.2">
      <c r="L312" s="6"/>
      <c r="M312" s="6"/>
      <c r="N312" s="7"/>
      <c r="O312" s="7"/>
    </row>
    <row r="313" spans="12:15" ht="15.75" customHeight="1" x14ac:dyDescent="0.2">
      <c r="L313" s="6"/>
      <c r="M313" s="6"/>
      <c r="N313" s="7"/>
      <c r="O313" s="7"/>
    </row>
    <row r="314" spans="12:15" ht="15.75" customHeight="1" x14ac:dyDescent="0.2">
      <c r="L314" s="6"/>
      <c r="M314" s="6"/>
      <c r="N314" s="7"/>
      <c r="O314" s="7"/>
    </row>
    <row r="315" spans="12:15" ht="15.75" customHeight="1" x14ac:dyDescent="0.2">
      <c r="L315" s="6"/>
      <c r="M315" s="6"/>
      <c r="N315" s="7"/>
      <c r="O315" s="7"/>
    </row>
    <row r="316" spans="12:15" ht="15.75" customHeight="1" x14ac:dyDescent="0.2">
      <c r="L316" s="6"/>
      <c r="M316" s="6"/>
      <c r="N316" s="7"/>
      <c r="O316" s="7"/>
    </row>
    <row r="317" spans="12:15" ht="15.75" customHeight="1" x14ac:dyDescent="0.2">
      <c r="L317" s="6"/>
      <c r="M317" s="6"/>
      <c r="N317" s="7"/>
      <c r="O317" s="7"/>
    </row>
    <row r="318" spans="12:15" ht="15.75" customHeight="1" x14ac:dyDescent="0.2">
      <c r="L318" s="6"/>
      <c r="M318" s="6"/>
      <c r="N318" s="7"/>
      <c r="O318" s="7"/>
    </row>
    <row r="319" spans="12:15" ht="15.75" customHeight="1" x14ac:dyDescent="0.2">
      <c r="L319" s="6"/>
      <c r="M319" s="6"/>
      <c r="N319" s="7"/>
      <c r="O319" s="7"/>
    </row>
    <row r="320" spans="12:15" ht="15.75" customHeight="1" x14ac:dyDescent="0.2">
      <c r="L320" s="6"/>
      <c r="M320" s="6"/>
      <c r="N320" s="7"/>
      <c r="O320" s="7"/>
    </row>
    <row r="321" spans="12:15" ht="15.75" customHeight="1" x14ac:dyDescent="0.2">
      <c r="L321" s="6"/>
      <c r="M321" s="6"/>
      <c r="N321" s="7"/>
      <c r="O321" s="7"/>
    </row>
    <row r="322" spans="12:15" ht="15.75" customHeight="1" x14ac:dyDescent="0.2">
      <c r="L322" s="6"/>
      <c r="M322" s="6"/>
      <c r="N322" s="7"/>
      <c r="O322" s="7"/>
    </row>
    <row r="323" spans="12:15" ht="15.75" customHeight="1" x14ac:dyDescent="0.2">
      <c r="L323" s="6"/>
      <c r="M323" s="6"/>
      <c r="N323" s="7"/>
      <c r="O323" s="7"/>
    </row>
    <row r="324" spans="12:15" ht="15.75" customHeight="1" x14ac:dyDescent="0.2">
      <c r="L324" s="6"/>
      <c r="M324" s="6"/>
      <c r="N324" s="7"/>
      <c r="O324" s="7"/>
    </row>
    <row r="325" spans="12:15" ht="15.75" customHeight="1" x14ac:dyDescent="0.2">
      <c r="L325" s="6"/>
      <c r="M325" s="6"/>
      <c r="N325" s="7"/>
      <c r="O325" s="7"/>
    </row>
    <row r="326" spans="12:15" ht="15.75" customHeight="1" x14ac:dyDescent="0.2">
      <c r="L326" s="6"/>
      <c r="M326" s="6"/>
      <c r="N326" s="7"/>
      <c r="O326" s="7"/>
    </row>
    <row r="327" spans="12:15" ht="15.75" customHeight="1" x14ac:dyDescent="0.2">
      <c r="L327" s="6"/>
      <c r="M327" s="6"/>
      <c r="N327" s="7"/>
      <c r="O327" s="7"/>
    </row>
    <row r="328" spans="12:15" ht="15.75" customHeight="1" x14ac:dyDescent="0.2">
      <c r="L328" s="6"/>
      <c r="M328" s="6"/>
      <c r="N328" s="7"/>
      <c r="O328" s="7"/>
    </row>
    <row r="329" spans="12:15" ht="15.75" customHeight="1" x14ac:dyDescent="0.2">
      <c r="L329" s="6"/>
      <c r="M329" s="6"/>
      <c r="N329" s="7"/>
      <c r="O329" s="7"/>
    </row>
    <row r="330" spans="12:15" ht="15.75" customHeight="1" x14ac:dyDescent="0.2">
      <c r="L330" s="6"/>
      <c r="M330" s="6"/>
      <c r="N330" s="7"/>
      <c r="O330" s="7"/>
    </row>
    <row r="331" spans="12:15" ht="15.75" customHeight="1" x14ac:dyDescent="0.2">
      <c r="L331" s="6"/>
      <c r="M331" s="6"/>
      <c r="N331" s="7"/>
      <c r="O331" s="7"/>
    </row>
    <row r="332" spans="12:15" ht="15.75" customHeight="1" x14ac:dyDescent="0.2">
      <c r="L332" s="6"/>
      <c r="M332" s="6"/>
      <c r="N332" s="7"/>
      <c r="O332" s="7"/>
    </row>
    <row r="333" spans="12:15" ht="15.75" customHeight="1" x14ac:dyDescent="0.2">
      <c r="L333" s="6"/>
      <c r="M333" s="6"/>
      <c r="N333" s="7"/>
      <c r="O333" s="7"/>
    </row>
    <row r="334" spans="12:15" ht="15.75" customHeight="1" x14ac:dyDescent="0.2">
      <c r="L334" s="6"/>
      <c r="M334" s="6"/>
      <c r="N334" s="7"/>
      <c r="O334" s="7"/>
    </row>
    <row r="335" spans="12:15" ht="15.75" customHeight="1" x14ac:dyDescent="0.2">
      <c r="L335" s="6"/>
      <c r="M335" s="6"/>
      <c r="N335" s="7"/>
      <c r="O335" s="7"/>
    </row>
    <row r="336" spans="12:15" ht="15.75" customHeight="1" x14ac:dyDescent="0.2">
      <c r="L336" s="6"/>
      <c r="M336" s="6"/>
      <c r="N336" s="7"/>
      <c r="O336" s="7"/>
    </row>
    <row r="337" spans="12:15" ht="15.75" customHeight="1" x14ac:dyDescent="0.2">
      <c r="L337" s="6"/>
      <c r="M337" s="6"/>
      <c r="N337" s="7"/>
      <c r="O337" s="7"/>
    </row>
    <row r="338" spans="12:15" ht="15.75" customHeight="1" x14ac:dyDescent="0.2">
      <c r="L338" s="6"/>
      <c r="M338" s="6"/>
      <c r="N338" s="7"/>
      <c r="O338" s="7"/>
    </row>
    <row r="339" spans="12:15" ht="15.75" customHeight="1" x14ac:dyDescent="0.2">
      <c r="L339" s="6"/>
      <c r="M339" s="6"/>
      <c r="N339" s="7"/>
      <c r="O339" s="7"/>
    </row>
    <row r="340" spans="12:15" ht="15.75" customHeight="1" x14ac:dyDescent="0.2">
      <c r="L340" s="6"/>
      <c r="M340" s="6"/>
      <c r="N340" s="7"/>
      <c r="O340" s="7"/>
    </row>
    <row r="341" spans="12:15" ht="15.75" customHeight="1" x14ac:dyDescent="0.2">
      <c r="L341" s="6"/>
      <c r="M341" s="6"/>
      <c r="N341" s="7"/>
      <c r="O341" s="7"/>
    </row>
    <row r="342" spans="12:15" ht="15.75" customHeight="1" x14ac:dyDescent="0.2">
      <c r="L342" s="6"/>
      <c r="M342" s="6"/>
      <c r="N342" s="7"/>
      <c r="O342" s="7"/>
    </row>
    <row r="343" spans="12:15" ht="15.75" customHeight="1" x14ac:dyDescent="0.2">
      <c r="L343" s="6"/>
      <c r="M343" s="6"/>
      <c r="N343" s="7"/>
      <c r="O343" s="7"/>
    </row>
    <row r="344" spans="12:15" ht="15.75" customHeight="1" x14ac:dyDescent="0.2">
      <c r="L344" s="6"/>
      <c r="M344" s="6"/>
      <c r="N344" s="7"/>
      <c r="O344" s="7"/>
    </row>
    <row r="345" spans="12:15" ht="15.75" customHeight="1" x14ac:dyDescent="0.2">
      <c r="L345" s="6"/>
      <c r="M345" s="6"/>
      <c r="N345" s="7"/>
      <c r="O345" s="7"/>
    </row>
    <row r="346" spans="12:15" ht="15.75" customHeight="1" x14ac:dyDescent="0.2">
      <c r="L346" s="6"/>
      <c r="M346" s="6"/>
      <c r="N346" s="7"/>
      <c r="O346" s="7"/>
    </row>
    <row r="347" spans="12:15" ht="15.75" customHeight="1" x14ac:dyDescent="0.2">
      <c r="L347" s="6"/>
      <c r="M347" s="6"/>
      <c r="N347" s="7"/>
      <c r="O347" s="7"/>
    </row>
    <row r="348" spans="12:15" ht="15.75" customHeight="1" x14ac:dyDescent="0.2">
      <c r="L348" s="6"/>
      <c r="M348" s="6"/>
      <c r="N348" s="7"/>
      <c r="O348" s="7"/>
    </row>
    <row r="349" spans="12:15" ht="15.75" customHeight="1" x14ac:dyDescent="0.2">
      <c r="L349" s="6"/>
      <c r="M349" s="6"/>
      <c r="N349" s="7"/>
      <c r="O349" s="7"/>
    </row>
    <row r="350" spans="12:15" ht="15.75" customHeight="1" x14ac:dyDescent="0.2">
      <c r="L350" s="6"/>
      <c r="M350" s="6"/>
      <c r="N350" s="7"/>
      <c r="O350" s="7"/>
    </row>
    <row r="351" spans="12:15" ht="15.75" customHeight="1" x14ac:dyDescent="0.2">
      <c r="L351" s="6"/>
      <c r="M351" s="6"/>
      <c r="N351" s="7"/>
      <c r="O351" s="7"/>
    </row>
    <row r="352" spans="12:15" ht="15.75" customHeight="1" x14ac:dyDescent="0.2">
      <c r="L352" s="6"/>
      <c r="M352" s="6"/>
      <c r="N352" s="7"/>
      <c r="O352" s="7"/>
    </row>
    <row r="353" spans="12:15" ht="15.75" customHeight="1" x14ac:dyDescent="0.2">
      <c r="L353" s="6"/>
      <c r="M353" s="6"/>
      <c r="N353" s="7"/>
      <c r="O353" s="7"/>
    </row>
    <row r="354" spans="12:15" ht="15.75" customHeight="1" x14ac:dyDescent="0.2">
      <c r="L354" s="6"/>
      <c r="M354" s="6"/>
      <c r="N354" s="7"/>
      <c r="O354" s="7"/>
    </row>
    <row r="355" spans="12:15" ht="15.75" customHeight="1" x14ac:dyDescent="0.2">
      <c r="L355" s="6"/>
      <c r="M355" s="6"/>
      <c r="N355" s="7"/>
      <c r="O355" s="7"/>
    </row>
    <row r="356" spans="12:15" ht="15.75" customHeight="1" x14ac:dyDescent="0.2">
      <c r="L356" s="6"/>
      <c r="M356" s="6"/>
      <c r="N356" s="7"/>
      <c r="O356" s="7"/>
    </row>
    <row r="357" spans="12:15" ht="15.75" customHeight="1" x14ac:dyDescent="0.2">
      <c r="L357" s="6"/>
      <c r="M357" s="6"/>
      <c r="N357" s="7"/>
      <c r="O357" s="7"/>
    </row>
    <row r="358" spans="12:15" ht="15.75" customHeight="1" x14ac:dyDescent="0.2">
      <c r="L358" s="6"/>
      <c r="M358" s="6"/>
      <c r="N358" s="7"/>
      <c r="O358" s="7"/>
    </row>
    <row r="359" spans="12:15" ht="15.75" customHeight="1" x14ac:dyDescent="0.2">
      <c r="L359" s="6"/>
      <c r="M359" s="6"/>
      <c r="N359" s="7"/>
      <c r="O359" s="7"/>
    </row>
    <row r="360" spans="12:15" ht="15.75" customHeight="1" x14ac:dyDescent="0.2">
      <c r="L360" s="6"/>
      <c r="M360" s="6"/>
      <c r="N360" s="7"/>
      <c r="O360" s="7"/>
    </row>
    <row r="361" spans="12:15" ht="15.75" customHeight="1" x14ac:dyDescent="0.2">
      <c r="L361" s="6"/>
      <c r="M361" s="6"/>
      <c r="N361" s="7"/>
      <c r="O361" s="7"/>
    </row>
    <row r="362" spans="12:15" ht="15.75" customHeight="1" x14ac:dyDescent="0.2">
      <c r="L362" s="6"/>
      <c r="M362" s="6"/>
      <c r="N362" s="7"/>
      <c r="O362" s="7"/>
    </row>
    <row r="363" spans="12:15" ht="15.75" customHeight="1" x14ac:dyDescent="0.2">
      <c r="L363" s="6"/>
      <c r="M363" s="6"/>
      <c r="N363" s="7"/>
      <c r="O363" s="7"/>
    </row>
    <row r="364" spans="12:15" ht="15.75" customHeight="1" x14ac:dyDescent="0.2">
      <c r="L364" s="6"/>
      <c r="M364" s="6"/>
      <c r="N364" s="7"/>
      <c r="O364" s="7"/>
    </row>
    <row r="365" spans="12:15" ht="15.75" customHeight="1" x14ac:dyDescent="0.2">
      <c r="L365" s="6"/>
      <c r="M365" s="6"/>
      <c r="N365" s="7"/>
      <c r="O365" s="7"/>
    </row>
    <row r="366" spans="12:15" ht="15.75" customHeight="1" x14ac:dyDescent="0.2">
      <c r="L366" s="6"/>
      <c r="M366" s="6"/>
      <c r="N366" s="7"/>
      <c r="O366" s="7"/>
    </row>
    <row r="367" spans="12:15" ht="15.75" customHeight="1" x14ac:dyDescent="0.2">
      <c r="L367" s="6"/>
      <c r="M367" s="6"/>
      <c r="N367" s="7"/>
      <c r="O367" s="7"/>
    </row>
    <row r="368" spans="12:15" ht="15.75" customHeight="1" x14ac:dyDescent="0.2">
      <c r="L368" s="6"/>
      <c r="M368" s="6"/>
      <c r="N368" s="7"/>
      <c r="O368" s="7"/>
    </row>
    <row r="369" spans="12:15" ht="15.75" customHeight="1" x14ac:dyDescent="0.2">
      <c r="L369" s="6"/>
      <c r="M369" s="6"/>
      <c r="N369" s="7"/>
      <c r="O369" s="7"/>
    </row>
    <row r="370" spans="12:15" ht="15.75" customHeight="1" x14ac:dyDescent="0.2">
      <c r="L370" s="6"/>
      <c r="M370" s="6"/>
      <c r="N370" s="7"/>
      <c r="O370" s="7"/>
    </row>
    <row r="371" spans="12:15" ht="15.75" customHeight="1" x14ac:dyDescent="0.2">
      <c r="L371" s="6"/>
      <c r="M371" s="6"/>
      <c r="N371" s="7"/>
      <c r="O371" s="7"/>
    </row>
    <row r="372" spans="12:15" ht="15.75" customHeight="1" x14ac:dyDescent="0.2">
      <c r="L372" s="6"/>
      <c r="M372" s="6"/>
      <c r="N372" s="7"/>
      <c r="O372" s="7"/>
    </row>
    <row r="373" spans="12:15" ht="15.75" customHeight="1" x14ac:dyDescent="0.2">
      <c r="L373" s="6"/>
      <c r="M373" s="6"/>
      <c r="N373" s="7"/>
      <c r="O373" s="7"/>
    </row>
    <row r="374" spans="12:15" ht="15.75" customHeight="1" x14ac:dyDescent="0.2">
      <c r="L374" s="6"/>
      <c r="M374" s="6"/>
      <c r="N374" s="7"/>
      <c r="O374" s="7"/>
    </row>
    <row r="375" spans="12:15" ht="15.75" customHeight="1" x14ac:dyDescent="0.2">
      <c r="L375" s="6"/>
      <c r="M375" s="6"/>
      <c r="N375" s="7"/>
      <c r="O375" s="7"/>
    </row>
    <row r="376" spans="12:15" ht="15.75" customHeight="1" x14ac:dyDescent="0.2">
      <c r="L376" s="6"/>
      <c r="M376" s="6"/>
      <c r="N376" s="7"/>
      <c r="O376" s="7"/>
    </row>
    <row r="377" spans="12:15" ht="15.75" customHeight="1" x14ac:dyDescent="0.2">
      <c r="L377" s="6"/>
      <c r="M377" s="6"/>
      <c r="N377" s="7"/>
      <c r="O377" s="7"/>
    </row>
    <row r="378" spans="12:15" ht="15.75" customHeight="1" x14ac:dyDescent="0.2">
      <c r="L378" s="6"/>
      <c r="M378" s="6"/>
      <c r="N378" s="7"/>
      <c r="O378" s="7"/>
    </row>
    <row r="379" spans="12:15" ht="15.75" customHeight="1" x14ac:dyDescent="0.2">
      <c r="L379" s="6"/>
      <c r="M379" s="6"/>
      <c r="N379" s="7"/>
      <c r="O379" s="7"/>
    </row>
    <row r="380" spans="12:15" ht="15.75" customHeight="1" x14ac:dyDescent="0.2">
      <c r="L380" s="6"/>
      <c r="M380" s="6"/>
      <c r="N380" s="7"/>
      <c r="O380" s="7"/>
    </row>
    <row r="381" spans="12:15" ht="15.75" customHeight="1" x14ac:dyDescent="0.2">
      <c r="L381" s="6"/>
      <c r="M381" s="6"/>
      <c r="N381" s="7"/>
      <c r="O381" s="7"/>
    </row>
    <row r="382" spans="12:15" ht="15.75" customHeight="1" x14ac:dyDescent="0.2">
      <c r="L382" s="6"/>
      <c r="M382" s="6"/>
      <c r="N382" s="7"/>
      <c r="O382" s="7"/>
    </row>
    <row r="383" spans="12:15" ht="15.75" customHeight="1" x14ac:dyDescent="0.2">
      <c r="L383" s="6"/>
      <c r="M383" s="6"/>
      <c r="N383" s="7"/>
      <c r="O383" s="7"/>
    </row>
    <row r="384" spans="12:15" ht="15.75" customHeight="1" x14ac:dyDescent="0.2">
      <c r="L384" s="6"/>
      <c r="M384" s="6"/>
      <c r="N384" s="7"/>
      <c r="O384" s="7"/>
    </row>
    <row r="385" spans="12:15" ht="15.75" customHeight="1" x14ac:dyDescent="0.2">
      <c r="L385" s="6"/>
      <c r="M385" s="6"/>
      <c r="N385" s="7"/>
      <c r="O385" s="7"/>
    </row>
    <row r="386" spans="12:15" ht="15.75" customHeight="1" x14ac:dyDescent="0.2">
      <c r="L386" s="6"/>
      <c r="M386" s="6"/>
      <c r="N386" s="7"/>
      <c r="O386" s="7"/>
    </row>
    <row r="387" spans="12:15" ht="15.75" customHeight="1" x14ac:dyDescent="0.2">
      <c r="L387" s="6"/>
      <c r="M387" s="6"/>
      <c r="N387" s="7"/>
      <c r="O387" s="7"/>
    </row>
    <row r="388" spans="12:15" ht="15.75" customHeight="1" x14ac:dyDescent="0.2">
      <c r="L388" s="6"/>
      <c r="M388" s="6"/>
      <c r="N388" s="7"/>
      <c r="O388" s="7"/>
    </row>
    <row r="389" spans="12:15" ht="15.75" customHeight="1" x14ac:dyDescent="0.2">
      <c r="L389" s="6"/>
      <c r="M389" s="6"/>
      <c r="N389" s="7"/>
      <c r="O389" s="7"/>
    </row>
    <row r="390" spans="12:15" ht="15.75" customHeight="1" x14ac:dyDescent="0.2">
      <c r="L390" s="6"/>
      <c r="M390" s="6"/>
      <c r="N390" s="7"/>
      <c r="O390" s="7"/>
    </row>
    <row r="391" spans="12:15" ht="15.75" customHeight="1" x14ac:dyDescent="0.2">
      <c r="L391" s="6"/>
      <c r="M391" s="6"/>
      <c r="N391" s="7"/>
      <c r="O391" s="7"/>
    </row>
    <row r="392" spans="12:15" ht="15.75" customHeight="1" x14ac:dyDescent="0.2">
      <c r="L392" s="6"/>
      <c r="M392" s="6"/>
      <c r="N392" s="7"/>
      <c r="O392" s="7"/>
    </row>
    <row r="393" spans="12:15" ht="15.75" customHeight="1" x14ac:dyDescent="0.2">
      <c r="L393" s="6"/>
      <c r="M393" s="6"/>
      <c r="N393" s="7"/>
      <c r="O393" s="7"/>
    </row>
    <row r="394" spans="12:15" ht="15.75" customHeight="1" x14ac:dyDescent="0.2">
      <c r="L394" s="6"/>
      <c r="M394" s="6"/>
      <c r="N394" s="7"/>
      <c r="O394" s="7"/>
    </row>
    <row r="395" spans="12:15" ht="15.75" customHeight="1" x14ac:dyDescent="0.2">
      <c r="L395" s="6"/>
      <c r="M395" s="6"/>
      <c r="N395" s="7"/>
      <c r="O395" s="7"/>
    </row>
    <row r="396" spans="12:15" ht="15.75" customHeight="1" x14ac:dyDescent="0.2">
      <c r="L396" s="6"/>
      <c r="M396" s="6"/>
      <c r="N396" s="7"/>
      <c r="O396" s="7"/>
    </row>
    <row r="397" spans="12:15" ht="15.75" customHeight="1" x14ac:dyDescent="0.2">
      <c r="L397" s="6"/>
      <c r="M397" s="6"/>
      <c r="N397" s="7"/>
      <c r="O397" s="7"/>
    </row>
    <row r="398" spans="12:15" ht="15.75" customHeight="1" x14ac:dyDescent="0.2">
      <c r="L398" s="6"/>
      <c r="M398" s="6"/>
      <c r="N398" s="7"/>
      <c r="O398" s="7"/>
    </row>
    <row r="399" spans="12:15" ht="15.75" customHeight="1" x14ac:dyDescent="0.2">
      <c r="L399" s="6"/>
      <c r="M399" s="6"/>
      <c r="N399" s="7"/>
      <c r="O399" s="7"/>
    </row>
    <row r="400" spans="12:15" ht="15.75" customHeight="1" x14ac:dyDescent="0.2">
      <c r="L400" s="6"/>
      <c r="M400" s="6"/>
      <c r="N400" s="7"/>
      <c r="O400" s="7"/>
    </row>
    <row r="401" spans="12:15" ht="15.75" customHeight="1" x14ac:dyDescent="0.2">
      <c r="L401" s="6"/>
      <c r="M401" s="6"/>
      <c r="N401" s="7"/>
      <c r="O401" s="7"/>
    </row>
    <row r="402" spans="12:15" ht="15.75" customHeight="1" x14ac:dyDescent="0.2">
      <c r="L402" s="6"/>
      <c r="M402" s="6"/>
      <c r="N402" s="7"/>
      <c r="O402" s="7"/>
    </row>
    <row r="403" spans="12:15" ht="15.75" customHeight="1" x14ac:dyDescent="0.2">
      <c r="L403" s="6"/>
      <c r="M403" s="6"/>
      <c r="N403" s="7"/>
      <c r="O403" s="7"/>
    </row>
    <row r="404" spans="12:15" ht="15.75" customHeight="1" x14ac:dyDescent="0.2">
      <c r="L404" s="6"/>
      <c r="M404" s="6"/>
      <c r="N404" s="7"/>
      <c r="O404" s="7"/>
    </row>
    <row r="405" spans="12:15" ht="15.75" customHeight="1" x14ac:dyDescent="0.2">
      <c r="L405" s="6"/>
      <c r="M405" s="6"/>
      <c r="N405" s="7"/>
      <c r="O405" s="7"/>
    </row>
    <row r="406" spans="12:15" ht="15.75" customHeight="1" x14ac:dyDescent="0.2">
      <c r="L406" s="6"/>
      <c r="M406" s="6"/>
      <c r="N406" s="7"/>
      <c r="O406" s="7"/>
    </row>
    <row r="407" spans="12:15" ht="15.75" customHeight="1" x14ac:dyDescent="0.2">
      <c r="L407" s="6"/>
      <c r="M407" s="6"/>
      <c r="N407" s="7"/>
      <c r="O407" s="7"/>
    </row>
    <row r="408" spans="12:15" ht="15.75" customHeight="1" x14ac:dyDescent="0.2">
      <c r="L408" s="6"/>
      <c r="M408" s="6"/>
      <c r="N408" s="7"/>
      <c r="O408" s="7"/>
    </row>
    <row r="409" spans="12:15" ht="15.75" customHeight="1" x14ac:dyDescent="0.2">
      <c r="L409" s="6"/>
      <c r="M409" s="6"/>
      <c r="N409" s="7"/>
      <c r="O409" s="7"/>
    </row>
    <row r="410" spans="12:15" ht="15.75" customHeight="1" x14ac:dyDescent="0.2">
      <c r="L410" s="6"/>
      <c r="M410" s="6"/>
      <c r="N410" s="7"/>
      <c r="O410" s="7"/>
    </row>
    <row r="411" spans="12:15" ht="15.75" customHeight="1" x14ac:dyDescent="0.2">
      <c r="L411" s="6"/>
      <c r="M411" s="6"/>
      <c r="N411" s="7"/>
      <c r="O411" s="7"/>
    </row>
    <row r="412" spans="12:15" ht="15.75" customHeight="1" x14ac:dyDescent="0.2">
      <c r="L412" s="6"/>
      <c r="M412" s="6"/>
      <c r="N412" s="7"/>
      <c r="O412" s="7"/>
    </row>
    <row r="413" spans="12:15" ht="15.75" customHeight="1" x14ac:dyDescent="0.2">
      <c r="L413" s="6"/>
      <c r="M413" s="6"/>
      <c r="N413" s="7"/>
      <c r="O413" s="7"/>
    </row>
    <row r="414" spans="12:15" ht="15.75" customHeight="1" x14ac:dyDescent="0.2">
      <c r="L414" s="6"/>
      <c r="M414" s="6"/>
      <c r="N414" s="7"/>
      <c r="O414" s="7"/>
    </row>
    <row r="415" spans="12:15" ht="15.75" customHeight="1" x14ac:dyDescent="0.2">
      <c r="L415" s="6"/>
      <c r="M415" s="6"/>
      <c r="N415" s="7"/>
      <c r="O415" s="7"/>
    </row>
    <row r="416" spans="12:15" ht="15.75" customHeight="1" x14ac:dyDescent="0.2">
      <c r="L416" s="6"/>
      <c r="M416" s="6"/>
      <c r="N416" s="7"/>
      <c r="O416" s="7"/>
    </row>
    <row r="417" spans="12:15" ht="15.75" customHeight="1" x14ac:dyDescent="0.2">
      <c r="L417" s="6"/>
      <c r="M417" s="6"/>
      <c r="N417" s="7"/>
      <c r="O417" s="7"/>
    </row>
    <row r="418" spans="12:15" ht="15.75" customHeight="1" x14ac:dyDescent="0.2">
      <c r="L418" s="6"/>
      <c r="M418" s="6"/>
      <c r="N418" s="7"/>
      <c r="O418" s="7"/>
    </row>
    <row r="419" spans="12:15" ht="15.75" customHeight="1" x14ac:dyDescent="0.2">
      <c r="L419" s="6"/>
      <c r="M419" s="6"/>
      <c r="N419" s="7"/>
      <c r="O419" s="7"/>
    </row>
    <row r="420" spans="12:15" ht="15.75" customHeight="1" x14ac:dyDescent="0.2">
      <c r="L420" s="6"/>
      <c r="M420" s="6"/>
      <c r="N420" s="7"/>
      <c r="O420" s="7"/>
    </row>
    <row r="421" spans="12:15" ht="15.75" customHeight="1" x14ac:dyDescent="0.2">
      <c r="L421" s="6"/>
      <c r="M421" s="6"/>
      <c r="N421" s="7"/>
      <c r="O421" s="7"/>
    </row>
    <row r="422" spans="12:15" ht="15.75" customHeight="1" x14ac:dyDescent="0.2">
      <c r="L422" s="6"/>
      <c r="M422" s="6"/>
      <c r="N422" s="7"/>
      <c r="O422" s="7"/>
    </row>
    <row r="423" spans="12:15" ht="15.75" customHeight="1" x14ac:dyDescent="0.2">
      <c r="L423" s="6"/>
      <c r="M423" s="6"/>
      <c r="N423" s="7"/>
      <c r="O423" s="7"/>
    </row>
    <row r="424" spans="12:15" ht="15.75" customHeight="1" x14ac:dyDescent="0.2">
      <c r="L424" s="6"/>
      <c r="M424" s="6"/>
      <c r="N424" s="7"/>
      <c r="O424" s="7"/>
    </row>
    <row r="425" spans="12:15" ht="15.75" customHeight="1" x14ac:dyDescent="0.2">
      <c r="L425" s="6"/>
      <c r="M425" s="6"/>
      <c r="N425" s="7"/>
      <c r="O425" s="7"/>
    </row>
    <row r="426" spans="12:15" ht="15.75" customHeight="1" x14ac:dyDescent="0.2">
      <c r="L426" s="6"/>
      <c r="M426" s="6"/>
      <c r="N426" s="7"/>
      <c r="O426" s="7"/>
    </row>
    <row r="427" spans="12:15" ht="15.75" customHeight="1" x14ac:dyDescent="0.2">
      <c r="L427" s="6"/>
      <c r="M427" s="6"/>
      <c r="N427" s="7"/>
      <c r="O427" s="7"/>
    </row>
    <row r="428" spans="12:15" ht="15.75" customHeight="1" x14ac:dyDescent="0.2">
      <c r="L428" s="6"/>
      <c r="M428" s="6"/>
      <c r="N428" s="7"/>
      <c r="O428" s="7"/>
    </row>
    <row r="429" spans="12:15" ht="15.75" customHeight="1" x14ac:dyDescent="0.2">
      <c r="L429" s="6"/>
      <c r="M429" s="6"/>
      <c r="N429" s="7"/>
      <c r="O429" s="7"/>
    </row>
    <row r="430" spans="12:15" ht="15.75" customHeight="1" x14ac:dyDescent="0.2">
      <c r="L430" s="6"/>
      <c r="M430" s="6"/>
      <c r="N430" s="7"/>
      <c r="O430" s="7"/>
    </row>
    <row r="431" spans="12:15" ht="15.75" customHeight="1" x14ac:dyDescent="0.2">
      <c r="L431" s="6"/>
      <c r="M431" s="6"/>
      <c r="N431" s="7"/>
      <c r="O431" s="7"/>
    </row>
    <row r="432" spans="12:15" ht="15.75" customHeight="1" x14ac:dyDescent="0.2">
      <c r="L432" s="6"/>
      <c r="M432" s="6"/>
      <c r="N432" s="7"/>
      <c r="O432" s="7"/>
    </row>
    <row r="433" spans="12:15" ht="15.75" customHeight="1" x14ac:dyDescent="0.2">
      <c r="L433" s="6"/>
      <c r="M433" s="6"/>
      <c r="N433" s="7"/>
      <c r="O433" s="7"/>
    </row>
    <row r="434" spans="12:15" ht="15.75" customHeight="1" x14ac:dyDescent="0.2">
      <c r="L434" s="6"/>
      <c r="M434" s="6"/>
      <c r="N434" s="7"/>
      <c r="O434" s="7"/>
    </row>
    <row r="435" spans="12:15" ht="15.75" customHeight="1" x14ac:dyDescent="0.2">
      <c r="L435" s="6"/>
      <c r="M435" s="6"/>
      <c r="N435" s="7"/>
      <c r="O435" s="7"/>
    </row>
    <row r="436" spans="12:15" ht="15.75" customHeight="1" x14ac:dyDescent="0.2">
      <c r="L436" s="6"/>
      <c r="M436" s="6"/>
      <c r="N436" s="7"/>
      <c r="O436" s="7"/>
    </row>
    <row r="437" spans="12:15" ht="15.75" customHeight="1" x14ac:dyDescent="0.2">
      <c r="L437" s="6"/>
      <c r="M437" s="6"/>
      <c r="N437" s="7"/>
      <c r="O437" s="7"/>
    </row>
    <row r="438" spans="12:15" ht="15.75" customHeight="1" x14ac:dyDescent="0.2">
      <c r="L438" s="6"/>
      <c r="M438" s="6"/>
      <c r="N438" s="7"/>
      <c r="O438" s="7"/>
    </row>
    <row r="439" spans="12:15" ht="15.75" customHeight="1" x14ac:dyDescent="0.2">
      <c r="L439" s="6"/>
      <c r="M439" s="6"/>
      <c r="N439" s="7"/>
      <c r="O439" s="7"/>
    </row>
    <row r="440" spans="12:15" ht="15.75" customHeight="1" x14ac:dyDescent="0.2">
      <c r="L440" s="6"/>
      <c r="M440" s="6"/>
      <c r="N440" s="7"/>
      <c r="O440" s="7"/>
    </row>
    <row r="441" spans="12:15" ht="15.75" customHeight="1" x14ac:dyDescent="0.2">
      <c r="L441" s="6"/>
      <c r="M441" s="6"/>
      <c r="N441" s="7"/>
      <c r="O441" s="7"/>
    </row>
    <row r="442" spans="12:15" ht="15.75" customHeight="1" x14ac:dyDescent="0.2">
      <c r="L442" s="6"/>
      <c r="M442" s="6"/>
      <c r="N442" s="7"/>
      <c r="O442" s="7"/>
    </row>
    <row r="443" spans="12:15" ht="15.75" customHeight="1" x14ac:dyDescent="0.2">
      <c r="L443" s="6"/>
      <c r="M443" s="6"/>
      <c r="N443" s="7"/>
      <c r="O443" s="7"/>
    </row>
    <row r="444" spans="12:15" ht="15.75" customHeight="1" x14ac:dyDescent="0.2">
      <c r="L444" s="6"/>
      <c r="M444" s="6"/>
      <c r="N444" s="7"/>
      <c r="O444" s="7"/>
    </row>
    <row r="445" spans="12:15" ht="15.75" customHeight="1" x14ac:dyDescent="0.2">
      <c r="L445" s="6"/>
      <c r="M445" s="6"/>
      <c r="N445" s="7"/>
      <c r="O445" s="7"/>
    </row>
    <row r="446" spans="12:15" ht="15.75" customHeight="1" x14ac:dyDescent="0.2">
      <c r="L446" s="6"/>
      <c r="M446" s="6"/>
      <c r="N446" s="7"/>
      <c r="O446" s="7"/>
    </row>
    <row r="447" spans="12:15" ht="15.75" customHeight="1" x14ac:dyDescent="0.2">
      <c r="L447" s="6"/>
      <c r="M447" s="6"/>
      <c r="N447" s="7"/>
      <c r="O447" s="7"/>
    </row>
    <row r="448" spans="12:15" ht="15.75" customHeight="1" x14ac:dyDescent="0.2">
      <c r="L448" s="6"/>
      <c r="M448" s="6"/>
      <c r="N448" s="7"/>
      <c r="O448" s="7"/>
    </row>
    <row r="449" spans="12:15" ht="15.75" customHeight="1" x14ac:dyDescent="0.2">
      <c r="L449" s="6"/>
      <c r="M449" s="6"/>
      <c r="N449" s="7"/>
      <c r="O449" s="7"/>
    </row>
    <row r="450" spans="12:15" ht="15.75" customHeight="1" x14ac:dyDescent="0.2">
      <c r="L450" s="6"/>
      <c r="M450" s="6"/>
      <c r="N450" s="7"/>
      <c r="O450" s="7"/>
    </row>
    <row r="451" spans="12:15" ht="15.75" customHeight="1" x14ac:dyDescent="0.2">
      <c r="L451" s="6"/>
      <c r="M451" s="6"/>
      <c r="N451" s="7"/>
      <c r="O451" s="7"/>
    </row>
    <row r="452" spans="12:15" ht="15.75" customHeight="1" x14ac:dyDescent="0.2">
      <c r="L452" s="6"/>
      <c r="M452" s="6"/>
      <c r="N452" s="7"/>
      <c r="O452" s="7"/>
    </row>
    <row r="453" spans="12:15" ht="15.75" customHeight="1" x14ac:dyDescent="0.2">
      <c r="L453" s="6"/>
      <c r="M453" s="6"/>
      <c r="N453" s="7"/>
      <c r="O453" s="7"/>
    </row>
    <row r="454" spans="12:15" ht="15.75" customHeight="1" x14ac:dyDescent="0.2">
      <c r="L454" s="6"/>
      <c r="M454" s="6"/>
      <c r="N454" s="7"/>
      <c r="O454" s="7"/>
    </row>
    <row r="455" spans="12:15" ht="15.75" customHeight="1" x14ac:dyDescent="0.2">
      <c r="L455" s="6"/>
      <c r="M455" s="6"/>
      <c r="N455" s="7"/>
      <c r="O455" s="7"/>
    </row>
    <row r="456" spans="12:15" ht="15.75" customHeight="1" x14ac:dyDescent="0.2">
      <c r="L456" s="6"/>
      <c r="M456" s="6"/>
      <c r="N456" s="7"/>
      <c r="O456" s="7"/>
    </row>
    <row r="457" spans="12:15" ht="15.75" customHeight="1" x14ac:dyDescent="0.2">
      <c r="L457" s="6"/>
      <c r="M457" s="6"/>
      <c r="N457" s="7"/>
      <c r="O457" s="7"/>
    </row>
    <row r="458" spans="12:15" ht="15.75" customHeight="1" x14ac:dyDescent="0.2">
      <c r="L458" s="6"/>
      <c r="M458" s="6"/>
      <c r="N458" s="7"/>
      <c r="O458" s="7"/>
    </row>
    <row r="459" spans="12:15" ht="15.75" customHeight="1" x14ac:dyDescent="0.2">
      <c r="L459" s="6"/>
      <c r="M459" s="6"/>
      <c r="N459" s="7"/>
      <c r="O459" s="7"/>
    </row>
    <row r="460" spans="12:15" ht="15.75" customHeight="1" x14ac:dyDescent="0.2">
      <c r="L460" s="6"/>
      <c r="M460" s="6"/>
      <c r="N460" s="7"/>
      <c r="O460" s="7"/>
    </row>
    <row r="461" spans="12:15" ht="15.75" customHeight="1" x14ac:dyDescent="0.2">
      <c r="L461" s="6"/>
      <c r="M461" s="6"/>
      <c r="N461" s="7"/>
      <c r="O461" s="7"/>
    </row>
    <row r="462" spans="12:15" ht="15.75" customHeight="1" x14ac:dyDescent="0.2">
      <c r="L462" s="6"/>
      <c r="M462" s="6"/>
      <c r="N462" s="7"/>
      <c r="O462" s="7"/>
    </row>
    <row r="463" spans="12:15" ht="15.75" customHeight="1" x14ac:dyDescent="0.2">
      <c r="L463" s="6"/>
      <c r="M463" s="6"/>
      <c r="N463" s="7"/>
      <c r="O463" s="7"/>
    </row>
    <row r="464" spans="12:15" ht="15.75" customHeight="1" x14ac:dyDescent="0.2">
      <c r="L464" s="6"/>
      <c r="M464" s="6"/>
      <c r="N464" s="7"/>
      <c r="O464" s="7"/>
    </row>
    <row r="465" spans="12:15" ht="15.75" customHeight="1" x14ac:dyDescent="0.2">
      <c r="L465" s="6"/>
      <c r="M465" s="6"/>
      <c r="N465" s="7"/>
      <c r="O465" s="7"/>
    </row>
    <row r="466" spans="12:15" ht="15.75" customHeight="1" x14ac:dyDescent="0.2">
      <c r="L466" s="6"/>
      <c r="M466" s="6"/>
      <c r="N466" s="7"/>
      <c r="O466" s="7"/>
    </row>
    <row r="467" spans="12:15" ht="15.75" customHeight="1" x14ac:dyDescent="0.2">
      <c r="L467" s="6"/>
      <c r="M467" s="6"/>
      <c r="N467" s="7"/>
      <c r="O467" s="7"/>
    </row>
    <row r="468" spans="12:15" ht="15.75" customHeight="1" x14ac:dyDescent="0.2">
      <c r="L468" s="6"/>
      <c r="M468" s="6"/>
      <c r="N468" s="7"/>
      <c r="O468" s="7"/>
    </row>
    <row r="469" spans="12:15" ht="15.75" customHeight="1" x14ac:dyDescent="0.2">
      <c r="L469" s="6"/>
      <c r="M469" s="6"/>
      <c r="N469" s="7"/>
      <c r="O469" s="7"/>
    </row>
    <row r="470" spans="12:15" ht="15.75" customHeight="1" x14ac:dyDescent="0.2">
      <c r="L470" s="6"/>
      <c r="M470" s="6"/>
      <c r="N470" s="7"/>
      <c r="O470" s="7"/>
    </row>
    <row r="471" spans="12:15" ht="15.75" customHeight="1" x14ac:dyDescent="0.2">
      <c r="L471" s="6"/>
      <c r="M471" s="6"/>
      <c r="N471" s="7"/>
      <c r="O471" s="7"/>
    </row>
    <row r="472" spans="12:15" ht="15.75" customHeight="1" x14ac:dyDescent="0.2">
      <c r="L472" s="6"/>
      <c r="M472" s="6"/>
      <c r="N472" s="7"/>
      <c r="O472" s="7"/>
    </row>
    <row r="473" spans="12:15" ht="15.75" customHeight="1" x14ac:dyDescent="0.2">
      <c r="L473" s="6"/>
      <c r="M473" s="6"/>
      <c r="N473" s="7"/>
      <c r="O473" s="7"/>
    </row>
    <row r="474" spans="12:15" ht="15.75" customHeight="1" x14ac:dyDescent="0.2">
      <c r="L474" s="6"/>
      <c r="M474" s="6"/>
      <c r="N474" s="7"/>
      <c r="O474" s="7"/>
    </row>
    <row r="475" spans="12:15" ht="15.75" customHeight="1" x14ac:dyDescent="0.2">
      <c r="L475" s="6"/>
      <c r="M475" s="6"/>
      <c r="N475" s="7"/>
      <c r="O475" s="7"/>
    </row>
    <row r="476" spans="12:15" ht="15.75" customHeight="1" x14ac:dyDescent="0.2">
      <c r="L476" s="6"/>
      <c r="M476" s="6"/>
      <c r="N476" s="7"/>
      <c r="O476" s="7"/>
    </row>
    <row r="477" spans="12:15" ht="15.75" customHeight="1" x14ac:dyDescent="0.2">
      <c r="L477" s="6"/>
      <c r="M477" s="6"/>
      <c r="N477" s="7"/>
      <c r="O477" s="7"/>
    </row>
    <row r="478" spans="12:15" ht="15.75" customHeight="1" x14ac:dyDescent="0.2">
      <c r="L478" s="6"/>
      <c r="M478" s="6"/>
      <c r="N478" s="7"/>
      <c r="O478" s="7"/>
    </row>
    <row r="479" spans="12:15" ht="15.75" customHeight="1" x14ac:dyDescent="0.2">
      <c r="L479" s="6"/>
      <c r="M479" s="6"/>
      <c r="N479" s="7"/>
      <c r="O479" s="7"/>
    </row>
    <row r="480" spans="12:15" ht="15.75" customHeight="1" x14ac:dyDescent="0.2">
      <c r="L480" s="6"/>
      <c r="M480" s="6"/>
      <c r="N480" s="7"/>
      <c r="O480" s="7"/>
    </row>
    <row r="481" spans="12:15" ht="15.75" customHeight="1" x14ac:dyDescent="0.2">
      <c r="L481" s="6"/>
      <c r="M481" s="6"/>
      <c r="N481" s="7"/>
      <c r="O481" s="7"/>
    </row>
    <row r="482" spans="12:15" ht="15.75" customHeight="1" x14ac:dyDescent="0.2">
      <c r="L482" s="6"/>
      <c r="M482" s="6"/>
      <c r="N482" s="7"/>
      <c r="O482" s="7"/>
    </row>
    <row r="483" spans="12:15" ht="15.75" customHeight="1" x14ac:dyDescent="0.2">
      <c r="L483" s="6"/>
      <c r="M483" s="6"/>
      <c r="N483" s="7"/>
      <c r="O483" s="7"/>
    </row>
    <row r="484" spans="12:15" ht="15.75" customHeight="1" x14ac:dyDescent="0.2">
      <c r="L484" s="6"/>
      <c r="M484" s="6"/>
      <c r="N484" s="7"/>
      <c r="O484" s="7"/>
    </row>
    <row r="485" spans="12:15" ht="15.75" customHeight="1" x14ac:dyDescent="0.2">
      <c r="L485" s="6"/>
      <c r="M485" s="6"/>
      <c r="N485" s="7"/>
      <c r="O485" s="7"/>
    </row>
    <row r="486" spans="12:15" ht="15.75" customHeight="1" x14ac:dyDescent="0.2">
      <c r="L486" s="6"/>
      <c r="M486" s="6"/>
      <c r="N486" s="7"/>
      <c r="O486" s="7"/>
    </row>
    <row r="487" spans="12:15" ht="15.75" customHeight="1" x14ac:dyDescent="0.2">
      <c r="L487" s="6"/>
      <c r="M487" s="6"/>
      <c r="N487" s="7"/>
      <c r="O487" s="7"/>
    </row>
    <row r="488" spans="12:15" ht="15.75" customHeight="1" x14ac:dyDescent="0.2">
      <c r="L488" s="6"/>
      <c r="M488" s="6"/>
      <c r="N488" s="7"/>
      <c r="O488" s="7"/>
    </row>
    <row r="489" spans="12:15" ht="15.75" customHeight="1" x14ac:dyDescent="0.2">
      <c r="L489" s="6"/>
      <c r="M489" s="6"/>
      <c r="N489" s="7"/>
      <c r="O489" s="7"/>
    </row>
    <row r="490" spans="12:15" ht="15.75" customHeight="1" x14ac:dyDescent="0.2">
      <c r="L490" s="6"/>
      <c r="M490" s="6"/>
      <c r="N490" s="7"/>
      <c r="O490" s="7"/>
    </row>
    <row r="491" spans="12:15" ht="15.75" customHeight="1" x14ac:dyDescent="0.2">
      <c r="L491" s="6"/>
      <c r="M491" s="6"/>
      <c r="N491" s="7"/>
      <c r="O491" s="7"/>
    </row>
    <row r="492" spans="12:15" ht="15.75" customHeight="1" x14ac:dyDescent="0.2">
      <c r="L492" s="6"/>
      <c r="M492" s="6"/>
      <c r="N492" s="7"/>
      <c r="O492" s="7"/>
    </row>
    <row r="493" spans="12:15" ht="15.75" customHeight="1" x14ac:dyDescent="0.2">
      <c r="L493" s="6"/>
      <c r="M493" s="6"/>
      <c r="N493" s="7"/>
      <c r="O493" s="7"/>
    </row>
    <row r="494" spans="12:15" ht="15.75" customHeight="1" x14ac:dyDescent="0.2">
      <c r="L494" s="6"/>
      <c r="M494" s="6"/>
      <c r="N494" s="7"/>
      <c r="O494" s="7"/>
    </row>
    <row r="495" spans="12:15" ht="15.75" customHeight="1" x14ac:dyDescent="0.2">
      <c r="L495" s="6"/>
      <c r="M495" s="6"/>
      <c r="N495" s="7"/>
      <c r="O495" s="7"/>
    </row>
    <row r="496" spans="12:15" ht="15.75" customHeight="1" x14ac:dyDescent="0.2">
      <c r="L496" s="6"/>
      <c r="M496" s="6"/>
      <c r="N496" s="7"/>
      <c r="O496" s="7"/>
    </row>
    <row r="497" spans="12:15" ht="15.75" customHeight="1" x14ac:dyDescent="0.2">
      <c r="L497" s="6"/>
      <c r="M497" s="6"/>
      <c r="N497" s="7"/>
      <c r="O497" s="7"/>
    </row>
    <row r="498" spans="12:15" ht="15.75" customHeight="1" x14ac:dyDescent="0.2">
      <c r="L498" s="6"/>
      <c r="M498" s="6"/>
      <c r="N498" s="7"/>
      <c r="O498" s="7"/>
    </row>
    <row r="499" spans="12:15" ht="15.75" customHeight="1" x14ac:dyDescent="0.2">
      <c r="L499" s="6"/>
      <c r="M499" s="6"/>
      <c r="N499" s="7"/>
      <c r="O499" s="7"/>
    </row>
    <row r="500" spans="12:15" ht="15.75" customHeight="1" x14ac:dyDescent="0.2">
      <c r="L500" s="6"/>
      <c r="M500" s="6"/>
      <c r="N500" s="7"/>
      <c r="O500" s="7"/>
    </row>
    <row r="501" spans="12:15" ht="15.75" customHeight="1" x14ac:dyDescent="0.2">
      <c r="L501" s="6"/>
      <c r="M501" s="6"/>
      <c r="N501" s="7"/>
      <c r="O501" s="7"/>
    </row>
    <row r="502" spans="12:15" ht="15.75" customHeight="1" x14ac:dyDescent="0.2">
      <c r="L502" s="6"/>
      <c r="M502" s="6"/>
      <c r="N502" s="7"/>
      <c r="O502" s="7"/>
    </row>
    <row r="503" spans="12:15" ht="15.75" customHeight="1" x14ac:dyDescent="0.2">
      <c r="L503" s="6"/>
      <c r="M503" s="6"/>
      <c r="N503" s="7"/>
      <c r="O503" s="7"/>
    </row>
    <row r="504" spans="12:15" ht="15.75" customHeight="1" x14ac:dyDescent="0.2">
      <c r="L504" s="6"/>
      <c r="M504" s="6"/>
      <c r="N504" s="7"/>
      <c r="O504" s="7"/>
    </row>
    <row r="505" spans="12:15" ht="15.75" customHeight="1" x14ac:dyDescent="0.2">
      <c r="L505" s="6"/>
      <c r="M505" s="6"/>
      <c r="N505" s="7"/>
      <c r="O505" s="7"/>
    </row>
    <row r="506" spans="12:15" ht="15.75" customHeight="1" x14ac:dyDescent="0.2">
      <c r="L506" s="6"/>
      <c r="M506" s="6"/>
      <c r="N506" s="7"/>
      <c r="O506" s="7"/>
    </row>
    <row r="507" spans="12:15" ht="15.75" customHeight="1" x14ac:dyDescent="0.2">
      <c r="L507" s="6"/>
      <c r="M507" s="6"/>
      <c r="N507" s="7"/>
      <c r="O507" s="7"/>
    </row>
    <row r="508" spans="12:15" ht="15.75" customHeight="1" x14ac:dyDescent="0.2">
      <c r="L508" s="6"/>
      <c r="M508" s="6"/>
      <c r="N508" s="7"/>
      <c r="O508" s="7"/>
    </row>
    <row r="509" spans="12:15" ht="15.75" customHeight="1" x14ac:dyDescent="0.2">
      <c r="L509" s="6"/>
      <c r="M509" s="6"/>
      <c r="N509" s="7"/>
      <c r="O509" s="7"/>
    </row>
    <row r="510" spans="12:15" ht="15.75" customHeight="1" x14ac:dyDescent="0.2">
      <c r="L510" s="6"/>
      <c r="M510" s="6"/>
      <c r="N510" s="7"/>
      <c r="O510" s="7"/>
    </row>
    <row r="511" spans="12:15" ht="15.75" customHeight="1" x14ac:dyDescent="0.2">
      <c r="L511" s="6"/>
      <c r="M511" s="6"/>
      <c r="N511" s="7"/>
      <c r="O511" s="7"/>
    </row>
    <row r="512" spans="12:15" ht="15.75" customHeight="1" x14ac:dyDescent="0.2">
      <c r="L512" s="6"/>
      <c r="M512" s="6"/>
      <c r="N512" s="7"/>
      <c r="O512" s="7"/>
    </row>
    <row r="513" spans="12:15" ht="15.75" customHeight="1" x14ac:dyDescent="0.2">
      <c r="L513" s="6"/>
      <c r="M513" s="6"/>
      <c r="N513" s="7"/>
      <c r="O513" s="7"/>
    </row>
    <row r="514" spans="12:15" ht="15.75" customHeight="1" x14ac:dyDescent="0.2">
      <c r="L514" s="6"/>
      <c r="M514" s="6"/>
      <c r="N514" s="7"/>
      <c r="O514" s="7"/>
    </row>
    <row r="515" spans="12:15" ht="15.75" customHeight="1" x14ac:dyDescent="0.2">
      <c r="L515" s="6"/>
      <c r="M515" s="6"/>
      <c r="N515" s="7"/>
      <c r="O515" s="7"/>
    </row>
    <row r="516" spans="12:15" ht="15.75" customHeight="1" x14ac:dyDescent="0.2">
      <c r="L516" s="6"/>
      <c r="M516" s="6"/>
      <c r="N516" s="7"/>
      <c r="O516" s="7"/>
    </row>
    <row r="517" spans="12:15" ht="15.75" customHeight="1" x14ac:dyDescent="0.2">
      <c r="L517" s="6"/>
      <c r="M517" s="6"/>
      <c r="N517" s="7"/>
      <c r="O517" s="7"/>
    </row>
    <row r="518" spans="12:15" ht="15.75" customHeight="1" x14ac:dyDescent="0.2">
      <c r="L518" s="6"/>
      <c r="M518" s="6"/>
      <c r="N518" s="7"/>
      <c r="O518" s="7"/>
    </row>
    <row r="519" spans="12:15" ht="15.75" customHeight="1" x14ac:dyDescent="0.2">
      <c r="L519" s="6"/>
      <c r="M519" s="6"/>
      <c r="N519" s="7"/>
      <c r="O519" s="7"/>
    </row>
    <row r="520" spans="12:15" ht="15.75" customHeight="1" x14ac:dyDescent="0.2">
      <c r="L520" s="6"/>
      <c r="M520" s="6"/>
      <c r="N520" s="7"/>
      <c r="O520" s="7"/>
    </row>
    <row r="521" spans="12:15" ht="15.75" customHeight="1" x14ac:dyDescent="0.2">
      <c r="L521" s="6"/>
      <c r="M521" s="6"/>
      <c r="N521" s="7"/>
      <c r="O521" s="7"/>
    </row>
    <row r="522" spans="12:15" ht="15.75" customHeight="1" x14ac:dyDescent="0.2">
      <c r="L522" s="6"/>
      <c r="M522" s="6"/>
      <c r="N522" s="7"/>
      <c r="O522" s="7"/>
    </row>
    <row r="523" spans="12:15" ht="15.75" customHeight="1" x14ac:dyDescent="0.2">
      <c r="L523" s="6"/>
      <c r="M523" s="6"/>
      <c r="N523" s="7"/>
      <c r="O523" s="7"/>
    </row>
    <row r="524" spans="12:15" ht="15.75" customHeight="1" x14ac:dyDescent="0.2">
      <c r="L524" s="6"/>
      <c r="M524" s="6"/>
      <c r="N524" s="7"/>
      <c r="O524" s="7"/>
    </row>
    <row r="525" spans="12:15" ht="15.75" customHeight="1" x14ac:dyDescent="0.2">
      <c r="L525" s="6"/>
      <c r="M525" s="6"/>
      <c r="N525" s="7"/>
      <c r="O525" s="7"/>
    </row>
    <row r="526" spans="12:15" ht="15.75" customHeight="1" x14ac:dyDescent="0.2">
      <c r="L526" s="6"/>
      <c r="M526" s="6"/>
      <c r="N526" s="7"/>
      <c r="O526" s="7"/>
    </row>
    <row r="527" spans="12:15" ht="15.75" customHeight="1" x14ac:dyDescent="0.2">
      <c r="L527" s="6"/>
      <c r="M527" s="6"/>
      <c r="N527" s="7"/>
      <c r="O527" s="7"/>
    </row>
    <row r="528" spans="12:15" ht="15.75" customHeight="1" x14ac:dyDescent="0.2">
      <c r="L528" s="6"/>
      <c r="M528" s="6"/>
      <c r="N528" s="7"/>
      <c r="O528" s="7"/>
    </row>
    <row r="529" spans="12:15" ht="15.75" customHeight="1" x14ac:dyDescent="0.2">
      <c r="L529" s="6"/>
      <c r="M529" s="6"/>
      <c r="N529" s="7"/>
      <c r="O529" s="7"/>
    </row>
    <row r="530" spans="12:15" ht="15.75" customHeight="1" x14ac:dyDescent="0.2">
      <c r="L530" s="6"/>
      <c r="M530" s="6"/>
      <c r="N530" s="7"/>
      <c r="O530" s="7"/>
    </row>
    <row r="531" spans="12:15" ht="15.75" customHeight="1" x14ac:dyDescent="0.2">
      <c r="L531" s="6"/>
      <c r="M531" s="6"/>
      <c r="N531" s="7"/>
      <c r="O531" s="7"/>
    </row>
    <row r="532" spans="12:15" ht="15.75" customHeight="1" x14ac:dyDescent="0.2">
      <c r="L532" s="6"/>
      <c r="M532" s="6"/>
      <c r="N532" s="7"/>
      <c r="O532" s="7"/>
    </row>
    <row r="533" spans="12:15" ht="15.75" customHeight="1" x14ac:dyDescent="0.2">
      <c r="L533" s="6"/>
      <c r="M533" s="6"/>
      <c r="N533" s="7"/>
      <c r="O533" s="7"/>
    </row>
    <row r="534" spans="12:15" ht="15.75" customHeight="1" x14ac:dyDescent="0.2">
      <c r="L534" s="6"/>
      <c r="M534" s="6"/>
      <c r="N534" s="7"/>
      <c r="O534" s="7"/>
    </row>
    <row r="535" spans="12:15" ht="15.75" customHeight="1" x14ac:dyDescent="0.2">
      <c r="L535" s="6"/>
      <c r="M535" s="6"/>
      <c r="N535" s="7"/>
      <c r="O535" s="7"/>
    </row>
    <row r="536" spans="12:15" ht="15.75" customHeight="1" x14ac:dyDescent="0.2">
      <c r="L536" s="6"/>
      <c r="M536" s="6"/>
      <c r="N536" s="7"/>
      <c r="O536" s="7"/>
    </row>
    <row r="537" spans="12:15" ht="15.75" customHeight="1" x14ac:dyDescent="0.2">
      <c r="L537" s="6"/>
      <c r="M537" s="6"/>
      <c r="N537" s="7"/>
      <c r="O537" s="7"/>
    </row>
    <row r="538" spans="12:15" ht="15.75" customHeight="1" x14ac:dyDescent="0.2">
      <c r="L538" s="6"/>
      <c r="M538" s="6"/>
      <c r="N538" s="7"/>
      <c r="O538" s="7"/>
    </row>
    <row r="539" spans="12:15" ht="15.75" customHeight="1" x14ac:dyDescent="0.2">
      <c r="L539" s="6"/>
      <c r="M539" s="6"/>
      <c r="N539" s="7"/>
      <c r="O539" s="7"/>
    </row>
    <row r="540" spans="12:15" ht="15.75" customHeight="1" x14ac:dyDescent="0.2">
      <c r="L540" s="6"/>
      <c r="M540" s="6"/>
      <c r="N540" s="7"/>
      <c r="O540" s="7"/>
    </row>
    <row r="541" spans="12:15" ht="15.75" customHeight="1" x14ac:dyDescent="0.2">
      <c r="L541" s="6"/>
      <c r="M541" s="6"/>
      <c r="N541" s="7"/>
      <c r="O541" s="7"/>
    </row>
    <row r="542" spans="12:15" ht="15.75" customHeight="1" x14ac:dyDescent="0.2">
      <c r="L542" s="6"/>
      <c r="M542" s="6"/>
      <c r="N542" s="7"/>
      <c r="O542" s="7"/>
    </row>
    <row r="543" spans="12:15" ht="15.75" customHeight="1" x14ac:dyDescent="0.2">
      <c r="L543" s="6"/>
      <c r="M543" s="6"/>
      <c r="N543" s="7"/>
      <c r="O543" s="7"/>
    </row>
    <row r="544" spans="12:15" ht="15.75" customHeight="1" x14ac:dyDescent="0.2">
      <c r="L544" s="6"/>
      <c r="M544" s="6"/>
      <c r="N544" s="7"/>
      <c r="O544" s="7"/>
    </row>
    <row r="545" spans="12:15" ht="15.75" customHeight="1" x14ac:dyDescent="0.2">
      <c r="L545" s="6"/>
      <c r="M545" s="6"/>
      <c r="N545" s="7"/>
      <c r="O545" s="7"/>
    </row>
    <row r="546" spans="12:15" ht="15.75" customHeight="1" x14ac:dyDescent="0.2">
      <c r="L546" s="6"/>
      <c r="M546" s="6"/>
      <c r="N546" s="7"/>
      <c r="O546" s="7"/>
    </row>
    <row r="547" spans="12:15" ht="15.75" customHeight="1" x14ac:dyDescent="0.2">
      <c r="L547" s="6"/>
      <c r="M547" s="6"/>
      <c r="N547" s="7"/>
      <c r="O547" s="7"/>
    </row>
    <row r="548" spans="12:15" ht="15.75" customHeight="1" x14ac:dyDescent="0.2">
      <c r="L548" s="6"/>
      <c r="M548" s="6"/>
      <c r="N548" s="7"/>
      <c r="O548" s="7"/>
    </row>
    <row r="549" spans="12:15" ht="15.75" customHeight="1" x14ac:dyDescent="0.2">
      <c r="L549" s="6"/>
      <c r="M549" s="6"/>
      <c r="N549" s="7"/>
      <c r="O549" s="7"/>
    </row>
    <row r="550" spans="12:15" ht="15.75" customHeight="1" x14ac:dyDescent="0.2">
      <c r="L550" s="6"/>
      <c r="M550" s="6"/>
      <c r="N550" s="7"/>
      <c r="O550" s="7"/>
    </row>
    <row r="551" spans="12:15" ht="15.75" customHeight="1" x14ac:dyDescent="0.2">
      <c r="L551" s="6"/>
      <c r="M551" s="6"/>
      <c r="N551" s="7"/>
      <c r="O551" s="7"/>
    </row>
    <row r="552" spans="12:15" ht="15.75" customHeight="1" x14ac:dyDescent="0.2">
      <c r="L552" s="6"/>
      <c r="M552" s="6"/>
      <c r="N552" s="7"/>
      <c r="O552" s="7"/>
    </row>
    <row r="553" spans="12:15" ht="15.75" customHeight="1" x14ac:dyDescent="0.2">
      <c r="L553" s="6"/>
      <c r="M553" s="6"/>
      <c r="N553" s="7"/>
      <c r="O553" s="7"/>
    </row>
    <row r="554" spans="12:15" ht="15.75" customHeight="1" x14ac:dyDescent="0.2">
      <c r="L554" s="6"/>
      <c r="M554" s="6"/>
      <c r="N554" s="7"/>
      <c r="O554" s="7"/>
    </row>
    <row r="555" spans="12:15" ht="15.75" customHeight="1" x14ac:dyDescent="0.2">
      <c r="L555" s="6"/>
      <c r="M555" s="6"/>
      <c r="N555" s="7"/>
      <c r="O555" s="7"/>
    </row>
    <row r="556" spans="12:15" ht="15.75" customHeight="1" x14ac:dyDescent="0.2">
      <c r="L556" s="6"/>
      <c r="M556" s="6"/>
      <c r="N556" s="7"/>
      <c r="O556" s="7"/>
    </row>
    <row r="557" spans="12:15" ht="15.75" customHeight="1" x14ac:dyDescent="0.2">
      <c r="L557" s="6"/>
      <c r="M557" s="6"/>
      <c r="N557" s="7"/>
      <c r="O557" s="7"/>
    </row>
    <row r="558" spans="12:15" ht="15.75" customHeight="1" x14ac:dyDescent="0.2">
      <c r="L558" s="6"/>
      <c r="M558" s="6"/>
      <c r="N558" s="7"/>
      <c r="O558" s="7"/>
    </row>
    <row r="559" spans="12:15" ht="15.75" customHeight="1" x14ac:dyDescent="0.2">
      <c r="L559" s="6"/>
      <c r="M559" s="6"/>
      <c r="N559" s="7"/>
      <c r="O559" s="7"/>
    </row>
    <row r="560" spans="12:15" ht="15.75" customHeight="1" x14ac:dyDescent="0.2">
      <c r="L560" s="6"/>
      <c r="M560" s="6"/>
      <c r="N560" s="7"/>
      <c r="O560" s="7"/>
    </row>
    <row r="561" spans="12:15" ht="15.75" customHeight="1" x14ac:dyDescent="0.2">
      <c r="L561" s="6"/>
      <c r="M561" s="6"/>
      <c r="N561" s="7"/>
      <c r="O561" s="7"/>
    </row>
    <row r="562" spans="12:15" ht="15.75" customHeight="1" x14ac:dyDescent="0.2">
      <c r="L562" s="6"/>
      <c r="M562" s="6"/>
      <c r="N562" s="7"/>
      <c r="O562" s="7"/>
    </row>
    <row r="563" spans="12:15" ht="15.75" customHeight="1" x14ac:dyDescent="0.2">
      <c r="L563" s="6"/>
      <c r="M563" s="6"/>
      <c r="N563" s="7"/>
      <c r="O563" s="7"/>
    </row>
    <row r="564" spans="12:15" ht="15.75" customHeight="1" x14ac:dyDescent="0.2">
      <c r="L564" s="6"/>
      <c r="M564" s="6"/>
      <c r="N564" s="7"/>
      <c r="O564" s="7"/>
    </row>
    <row r="565" spans="12:15" ht="15.75" customHeight="1" x14ac:dyDescent="0.2">
      <c r="L565" s="6"/>
      <c r="M565" s="6"/>
      <c r="N565" s="7"/>
      <c r="O565" s="7"/>
    </row>
    <row r="566" spans="12:15" ht="15.75" customHeight="1" x14ac:dyDescent="0.2">
      <c r="L566" s="6"/>
      <c r="M566" s="6"/>
      <c r="N566" s="7"/>
      <c r="O566" s="7"/>
    </row>
    <row r="567" spans="12:15" ht="15.75" customHeight="1" x14ac:dyDescent="0.2">
      <c r="L567" s="6"/>
      <c r="M567" s="6"/>
      <c r="N567" s="7"/>
      <c r="O567" s="7"/>
    </row>
    <row r="568" spans="12:15" ht="15.75" customHeight="1" x14ac:dyDescent="0.2">
      <c r="L568" s="6"/>
      <c r="M568" s="6"/>
      <c r="N568" s="7"/>
      <c r="O568" s="7"/>
    </row>
    <row r="569" spans="12:15" ht="15.75" customHeight="1" x14ac:dyDescent="0.2">
      <c r="L569" s="6"/>
      <c r="M569" s="6"/>
      <c r="N569" s="7"/>
      <c r="O569" s="7"/>
    </row>
    <row r="570" spans="12:15" ht="15.75" customHeight="1" x14ac:dyDescent="0.2">
      <c r="L570" s="6"/>
      <c r="M570" s="6"/>
      <c r="N570" s="7"/>
      <c r="O570" s="7"/>
    </row>
    <row r="571" spans="12:15" ht="15.75" customHeight="1" x14ac:dyDescent="0.2">
      <c r="L571" s="6"/>
      <c r="M571" s="6"/>
      <c r="N571" s="7"/>
      <c r="O571" s="7"/>
    </row>
    <row r="572" spans="12:15" ht="15.75" customHeight="1" x14ac:dyDescent="0.2">
      <c r="L572" s="6"/>
      <c r="M572" s="6"/>
      <c r="N572" s="7"/>
      <c r="O572" s="7"/>
    </row>
    <row r="573" spans="12:15" ht="15.75" customHeight="1" x14ac:dyDescent="0.2">
      <c r="L573" s="6"/>
      <c r="M573" s="6"/>
      <c r="N573" s="7"/>
      <c r="O573" s="7"/>
    </row>
    <row r="574" spans="12:15" ht="15.75" customHeight="1" x14ac:dyDescent="0.2">
      <c r="L574" s="6"/>
      <c r="M574" s="6"/>
      <c r="N574" s="7"/>
      <c r="O574" s="7"/>
    </row>
    <row r="575" spans="12:15" ht="15.75" customHeight="1" x14ac:dyDescent="0.2">
      <c r="L575" s="6"/>
      <c r="M575" s="6"/>
      <c r="N575" s="7"/>
      <c r="O575" s="7"/>
    </row>
    <row r="576" spans="12:15" ht="15.75" customHeight="1" x14ac:dyDescent="0.2">
      <c r="L576" s="6"/>
      <c r="M576" s="6"/>
      <c r="N576" s="7"/>
      <c r="O576" s="7"/>
    </row>
    <row r="577" spans="12:15" ht="15.75" customHeight="1" x14ac:dyDescent="0.2">
      <c r="L577" s="6"/>
      <c r="M577" s="6"/>
      <c r="N577" s="7"/>
      <c r="O577" s="7"/>
    </row>
    <row r="578" spans="12:15" ht="15.75" customHeight="1" x14ac:dyDescent="0.2">
      <c r="L578" s="6"/>
      <c r="M578" s="6"/>
      <c r="N578" s="7"/>
      <c r="O578" s="7"/>
    </row>
    <row r="579" spans="12:15" ht="15.75" customHeight="1" x14ac:dyDescent="0.2">
      <c r="L579" s="6"/>
      <c r="M579" s="6"/>
      <c r="N579" s="7"/>
      <c r="O579" s="7"/>
    </row>
    <row r="580" spans="12:15" ht="15.75" customHeight="1" x14ac:dyDescent="0.2">
      <c r="L580" s="6"/>
      <c r="M580" s="6"/>
      <c r="N580" s="7"/>
      <c r="O580" s="7"/>
    </row>
    <row r="581" spans="12:15" ht="15.75" customHeight="1" x14ac:dyDescent="0.2">
      <c r="L581" s="6"/>
      <c r="M581" s="6"/>
      <c r="N581" s="7"/>
      <c r="O581" s="7"/>
    </row>
    <row r="582" spans="12:15" ht="15.75" customHeight="1" x14ac:dyDescent="0.2">
      <c r="L582" s="6"/>
      <c r="M582" s="6"/>
      <c r="N582" s="7"/>
      <c r="O582" s="7"/>
    </row>
    <row r="583" spans="12:15" ht="15.75" customHeight="1" x14ac:dyDescent="0.2">
      <c r="L583" s="6"/>
      <c r="M583" s="6"/>
      <c r="N583" s="7"/>
      <c r="O583" s="7"/>
    </row>
    <row r="584" spans="12:15" ht="15.75" customHeight="1" x14ac:dyDescent="0.2">
      <c r="L584" s="6"/>
      <c r="M584" s="6"/>
      <c r="N584" s="7"/>
      <c r="O584" s="7"/>
    </row>
    <row r="585" spans="12:15" ht="15.75" customHeight="1" x14ac:dyDescent="0.2">
      <c r="L585" s="6"/>
      <c r="M585" s="6"/>
      <c r="N585" s="7"/>
      <c r="O585" s="7"/>
    </row>
    <row r="586" spans="12:15" ht="15.75" customHeight="1" x14ac:dyDescent="0.2">
      <c r="L586" s="6"/>
      <c r="M586" s="6"/>
      <c r="N586" s="7"/>
      <c r="O586" s="7"/>
    </row>
    <row r="587" spans="12:15" ht="15.75" customHeight="1" x14ac:dyDescent="0.2">
      <c r="L587" s="6"/>
      <c r="M587" s="6"/>
      <c r="N587" s="7"/>
      <c r="O587" s="7"/>
    </row>
    <row r="588" spans="12:15" ht="15.75" customHeight="1" x14ac:dyDescent="0.2">
      <c r="L588" s="6"/>
      <c r="M588" s="6"/>
      <c r="N588" s="7"/>
      <c r="O588" s="7"/>
    </row>
    <row r="589" spans="12:15" ht="15.75" customHeight="1" x14ac:dyDescent="0.2">
      <c r="L589" s="6"/>
      <c r="M589" s="6"/>
      <c r="N589" s="7"/>
      <c r="O589" s="7"/>
    </row>
    <row r="590" spans="12:15" ht="15.75" customHeight="1" x14ac:dyDescent="0.2">
      <c r="L590" s="6"/>
      <c r="M590" s="6"/>
      <c r="N590" s="7"/>
      <c r="O590" s="7"/>
    </row>
    <row r="591" spans="12:15" ht="15.75" customHeight="1" x14ac:dyDescent="0.2">
      <c r="L591" s="6"/>
      <c r="M591" s="6"/>
      <c r="N591" s="7"/>
      <c r="O591" s="7"/>
    </row>
    <row r="592" spans="12:15" ht="15.75" customHeight="1" x14ac:dyDescent="0.2">
      <c r="L592" s="6"/>
      <c r="M592" s="6"/>
      <c r="N592" s="7"/>
      <c r="O592" s="7"/>
    </row>
    <row r="593" spans="12:15" ht="15.75" customHeight="1" x14ac:dyDescent="0.2">
      <c r="L593" s="6"/>
      <c r="M593" s="6"/>
      <c r="N593" s="7"/>
      <c r="O593" s="7"/>
    </row>
    <row r="594" spans="12:15" ht="15.75" customHeight="1" x14ac:dyDescent="0.2">
      <c r="L594" s="6"/>
      <c r="M594" s="6"/>
      <c r="N594" s="7"/>
      <c r="O594" s="7"/>
    </row>
    <row r="595" spans="12:15" ht="15.75" customHeight="1" x14ac:dyDescent="0.2">
      <c r="L595" s="6"/>
      <c r="M595" s="6"/>
      <c r="N595" s="7"/>
      <c r="O595" s="7"/>
    </row>
    <row r="596" spans="12:15" ht="15.75" customHeight="1" x14ac:dyDescent="0.2">
      <c r="L596" s="6"/>
      <c r="M596" s="6"/>
      <c r="N596" s="7"/>
      <c r="O596" s="7"/>
    </row>
    <row r="597" spans="12:15" ht="15.75" customHeight="1" x14ac:dyDescent="0.2">
      <c r="L597" s="6"/>
      <c r="M597" s="6"/>
      <c r="N597" s="7"/>
      <c r="O597" s="7"/>
    </row>
    <row r="598" spans="12:15" ht="15.75" customHeight="1" x14ac:dyDescent="0.2">
      <c r="L598" s="6"/>
      <c r="M598" s="6"/>
      <c r="N598" s="7"/>
      <c r="O598" s="7"/>
    </row>
    <row r="599" spans="12:15" ht="15.75" customHeight="1" x14ac:dyDescent="0.2">
      <c r="L599" s="6"/>
      <c r="M599" s="6"/>
      <c r="N599" s="7"/>
      <c r="O599" s="7"/>
    </row>
    <row r="600" spans="12:15" ht="15.75" customHeight="1" x14ac:dyDescent="0.2">
      <c r="L600" s="6"/>
      <c r="M600" s="6"/>
      <c r="N600" s="7"/>
      <c r="O600" s="7"/>
    </row>
    <row r="601" spans="12:15" ht="15.75" customHeight="1" x14ac:dyDescent="0.2">
      <c r="L601" s="6"/>
      <c r="M601" s="6"/>
      <c r="N601" s="7"/>
      <c r="O601" s="7"/>
    </row>
    <row r="602" spans="12:15" ht="15.75" customHeight="1" x14ac:dyDescent="0.2">
      <c r="L602" s="6"/>
      <c r="M602" s="6"/>
      <c r="N602" s="7"/>
      <c r="O602" s="7"/>
    </row>
    <row r="603" spans="12:15" ht="15.75" customHeight="1" x14ac:dyDescent="0.2">
      <c r="L603" s="6"/>
      <c r="M603" s="6"/>
      <c r="N603" s="7"/>
      <c r="O603" s="7"/>
    </row>
    <row r="604" spans="12:15" ht="15.75" customHeight="1" x14ac:dyDescent="0.2">
      <c r="L604" s="6"/>
      <c r="M604" s="6"/>
      <c r="N604" s="7"/>
      <c r="O604" s="7"/>
    </row>
    <row r="605" spans="12:15" ht="15.75" customHeight="1" x14ac:dyDescent="0.2">
      <c r="L605" s="6"/>
      <c r="M605" s="6"/>
      <c r="N605" s="7"/>
      <c r="O605" s="7"/>
    </row>
    <row r="606" spans="12:15" ht="15.75" customHeight="1" x14ac:dyDescent="0.2">
      <c r="L606" s="6"/>
      <c r="M606" s="6"/>
      <c r="N606" s="7"/>
      <c r="O606" s="7"/>
    </row>
    <row r="607" spans="12:15" ht="15.75" customHeight="1" x14ac:dyDescent="0.2">
      <c r="L607" s="6"/>
      <c r="M607" s="6"/>
      <c r="N607" s="7"/>
      <c r="O607" s="7"/>
    </row>
    <row r="608" spans="12:15" ht="15.75" customHeight="1" x14ac:dyDescent="0.2">
      <c r="L608" s="6"/>
      <c r="M608" s="6"/>
      <c r="N608" s="7"/>
      <c r="O608" s="7"/>
    </row>
    <row r="609" spans="12:15" ht="15.75" customHeight="1" x14ac:dyDescent="0.2">
      <c r="L609" s="6"/>
      <c r="M609" s="6"/>
      <c r="N609" s="7"/>
      <c r="O609" s="7"/>
    </row>
    <row r="610" spans="12:15" ht="15.75" customHeight="1" x14ac:dyDescent="0.2">
      <c r="L610" s="6"/>
      <c r="M610" s="6"/>
      <c r="N610" s="7"/>
      <c r="O610" s="7"/>
    </row>
    <row r="611" spans="12:15" ht="15.75" customHeight="1" x14ac:dyDescent="0.2">
      <c r="L611" s="6"/>
      <c r="M611" s="6"/>
      <c r="N611" s="7"/>
      <c r="O611" s="7"/>
    </row>
    <row r="612" spans="12:15" ht="15.75" customHeight="1" x14ac:dyDescent="0.2">
      <c r="L612" s="6"/>
      <c r="M612" s="6"/>
      <c r="N612" s="7"/>
      <c r="O612" s="7"/>
    </row>
    <row r="613" spans="12:15" ht="15.75" customHeight="1" x14ac:dyDescent="0.2">
      <c r="L613" s="6"/>
      <c r="M613" s="6"/>
      <c r="N613" s="7"/>
      <c r="O613" s="7"/>
    </row>
    <row r="614" spans="12:15" ht="15.75" customHeight="1" x14ac:dyDescent="0.2">
      <c r="L614" s="6"/>
      <c r="M614" s="6"/>
      <c r="N614" s="7"/>
      <c r="O614" s="7"/>
    </row>
    <row r="615" spans="12:15" ht="15.75" customHeight="1" x14ac:dyDescent="0.2">
      <c r="L615" s="6"/>
      <c r="M615" s="6"/>
      <c r="N615" s="7"/>
      <c r="O615" s="7"/>
    </row>
    <row r="616" spans="12:15" ht="15.75" customHeight="1" x14ac:dyDescent="0.2">
      <c r="L616" s="6"/>
      <c r="M616" s="6"/>
      <c r="N616" s="7"/>
      <c r="O616" s="7"/>
    </row>
    <row r="617" spans="12:15" ht="15.75" customHeight="1" x14ac:dyDescent="0.2">
      <c r="L617" s="6"/>
      <c r="M617" s="6"/>
      <c r="N617" s="7"/>
      <c r="O617" s="7"/>
    </row>
    <row r="618" spans="12:15" ht="15.75" customHeight="1" x14ac:dyDescent="0.2">
      <c r="L618" s="6"/>
      <c r="M618" s="6"/>
      <c r="N618" s="7"/>
      <c r="O618" s="7"/>
    </row>
    <row r="619" spans="12:15" ht="15.75" customHeight="1" x14ac:dyDescent="0.2">
      <c r="L619" s="6"/>
      <c r="M619" s="6"/>
      <c r="N619" s="7"/>
      <c r="O619" s="7"/>
    </row>
    <row r="620" spans="12:15" ht="15.75" customHeight="1" x14ac:dyDescent="0.2">
      <c r="L620" s="6"/>
      <c r="M620" s="6"/>
      <c r="N620" s="7"/>
      <c r="O620" s="7"/>
    </row>
    <row r="621" spans="12:15" ht="15.75" customHeight="1" x14ac:dyDescent="0.2">
      <c r="L621" s="6"/>
      <c r="M621" s="6"/>
      <c r="N621" s="7"/>
      <c r="O621" s="7"/>
    </row>
    <row r="622" spans="12:15" ht="15.75" customHeight="1" x14ac:dyDescent="0.2">
      <c r="L622" s="6"/>
      <c r="M622" s="6"/>
      <c r="N622" s="7"/>
      <c r="O622" s="7"/>
    </row>
    <row r="623" spans="12:15" ht="15.75" customHeight="1" x14ac:dyDescent="0.2">
      <c r="L623" s="6"/>
      <c r="M623" s="6"/>
      <c r="N623" s="7"/>
      <c r="O623" s="7"/>
    </row>
    <row r="624" spans="12:15" ht="15.75" customHeight="1" x14ac:dyDescent="0.2">
      <c r="L624" s="6"/>
      <c r="M624" s="6"/>
      <c r="N624" s="7"/>
      <c r="O624" s="7"/>
    </row>
    <row r="625" spans="12:15" ht="15.75" customHeight="1" x14ac:dyDescent="0.2">
      <c r="L625" s="6"/>
      <c r="M625" s="6"/>
      <c r="N625" s="7"/>
      <c r="O625" s="7"/>
    </row>
    <row r="626" spans="12:15" ht="15.75" customHeight="1" x14ac:dyDescent="0.2">
      <c r="L626" s="6"/>
      <c r="M626" s="6"/>
      <c r="N626" s="7"/>
      <c r="O626" s="7"/>
    </row>
    <row r="627" spans="12:15" ht="15.75" customHeight="1" x14ac:dyDescent="0.2">
      <c r="L627" s="6"/>
      <c r="M627" s="6"/>
      <c r="N627" s="7"/>
      <c r="O627" s="7"/>
    </row>
    <row r="628" spans="12:15" ht="15.75" customHeight="1" x14ac:dyDescent="0.2">
      <c r="L628" s="6"/>
      <c r="M628" s="6"/>
      <c r="N628" s="7"/>
      <c r="O628" s="7"/>
    </row>
    <row r="629" spans="12:15" ht="15.75" customHeight="1" x14ac:dyDescent="0.2">
      <c r="L629" s="6"/>
      <c r="M629" s="6"/>
      <c r="N629" s="7"/>
      <c r="O629" s="7"/>
    </row>
    <row r="630" spans="12:15" ht="15.75" customHeight="1" x14ac:dyDescent="0.2">
      <c r="L630" s="6"/>
      <c r="M630" s="6"/>
      <c r="N630" s="7"/>
      <c r="O630" s="7"/>
    </row>
    <row r="631" spans="12:15" ht="15.75" customHeight="1" x14ac:dyDescent="0.2">
      <c r="L631" s="6"/>
      <c r="M631" s="6"/>
      <c r="N631" s="7"/>
      <c r="O631" s="7"/>
    </row>
    <row r="632" spans="12:15" ht="15.75" customHeight="1" x14ac:dyDescent="0.2">
      <c r="L632" s="6"/>
      <c r="M632" s="6"/>
      <c r="N632" s="7"/>
      <c r="O632" s="7"/>
    </row>
    <row r="633" spans="12:15" ht="15.75" customHeight="1" x14ac:dyDescent="0.2">
      <c r="L633" s="6"/>
      <c r="M633" s="6"/>
      <c r="N633" s="7"/>
      <c r="O633" s="7"/>
    </row>
    <row r="634" spans="12:15" ht="15.75" customHeight="1" x14ac:dyDescent="0.2">
      <c r="L634" s="6"/>
      <c r="M634" s="6"/>
      <c r="N634" s="7"/>
      <c r="O634" s="7"/>
    </row>
    <row r="635" spans="12:15" ht="15.75" customHeight="1" x14ac:dyDescent="0.2">
      <c r="L635" s="6"/>
      <c r="M635" s="6"/>
      <c r="N635" s="7"/>
      <c r="O635" s="7"/>
    </row>
    <row r="636" spans="12:15" ht="15.75" customHeight="1" x14ac:dyDescent="0.2">
      <c r="L636" s="6"/>
      <c r="M636" s="6"/>
      <c r="N636" s="7"/>
      <c r="O636" s="7"/>
    </row>
    <row r="637" spans="12:15" ht="15.75" customHeight="1" x14ac:dyDescent="0.2">
      <c r="L637" s="6"/>
      <c r="M637" s="6"/>
      <c r="N637" s="7"/>
      <c r="O637" s="7"/>
    </row>
    <row r="638" spans="12:15" ht="15.75" customHeight="1" x14ac:dyDescent="0.2">
      <c r="L638" s="6"/>
      <c r="M638" s="6"/>
      <c r="N638" s="7"/>
      <c r="O638" s="7"/>
    </row>
    <row r="639" spans="12:15" ht="15.75" customHeight="1" x14ac:dyDescent="0.2">
      <c r="L639" s="6"/>
      <c r="M639" s="6"/>
      <c r="N639" s="7"/>
      <c r="O639" s="7"/>
    </row>
    <row r="640" spans="12:15" ht="15.75" customHeight="1" x14ac:dyDescent="0.2">
      <c r="L640" s="6"/>
      <c r="M640" s="6"/>
      <c r="N640" s="7"/>
      <c r="O640" s="7"/>
    </row>
    <row r="641" spans="12:15" ht="15.75" customHeight="1" x14ac:dyDescent="0.2">
      <c r="L641" s="6"/>
      <c r="M641" s="6"/>
      <c r="N641" s="7"/>
      <c r="O641" s="7"/>
    </row>
    <row r="642" spans="12:15" ht="15.75" customHeight="1" x14ac:dyDescent="0.2">
      <c r="L642" s="6"/>
      <c r="M642" s="6"/>
      <c r="N642" s="7"/>
      <c r="O642" s="7"/>
    </row>
    <row r="643" spans="12:15" ht="15.75" customHeight="1" x14ac:dyDescent="0.2">
      <c r="L643" s="6"/>
      <c r="M643" s="6"/>
      <c r="N643" s="7"/>
      <c r="O643" s="7"/>
    </row>
    <row r="644" spans="12:15" ht="15.75" customHeight="1" x14ac:dyDescent="0.2">
      <c r="L644" s="6"/>
      <c r="M644" s="6"/>
      <c r="N644" s="7"/>
      <c r="O644" s="7"/>
    </row>
    <row r="645" spans="12:15" ht="15.75" customHeight="1" x14ac:dyDescent="0.2">
      <c r="L645" s="6"/>
      <c r="M645" s="6"/>
      <c r="N645" s="7"/>
      <c r="O645" s="7"/>
    </row>
    <row r="646" spans="12:15" ht="15.75" customHeight="1" x14ac:dyDescent="0.2">
      <c r="L646" s="6"/>
      <c r="M646" s="6"/>
      <c r="N646" s="7"/>
      <c r="O646" s="7"/>
    </row>
    <row r="647" spans="12:15" ht="15.75" customHeight="1" x14ac:dyDescent="0.2">
      <c r="L647" s="6"/>
      <c r="M647" s="6"/>
      <c r="N647" s="7"/>
      <c r="O647" s="7"/>
    </row>
    <row r="648" spans="12:15" ht="15.75" customHeight="1" x14ac:dyDescent="0.2">
      <c r="L648" s="6"/>
      <c r="M648" s="6"/>
      <c r="N648" s="7"/>
      <c r="O648" s="7"/>
    </row>
    <row r="649" spans="12:15" ht="15.75" customHeight="1" x14ac:dyDescent="0.2">
      <c r="L649" s="6"/>
      <c r="M649" s="6"/>
      <c r="N649" s="7"/>
      <c r="O649" s="7"/>
    </row>
    <row r="650" spans="12:15" ht="15.75" customHeight="1" x14ac:dyDescent="0.2">
      <c r="L650" s="6"/>
      <c r="M650" s="6"/>
      <c r="N650" s="7"/>
      <c r="O650" s="7"/>
    </row>
    <row r="651" spans="12:15" ht="15.75" customHeight="1" x14ac:dyDescent="0.2">
      <c r="L651" s="6"/>
      <c r="M651" s="6"/>
      <c r="N651" s="7"/>
      <c r="O651" s="7"/>
    </row>
    <row r="652" spans="12:15" ht="15.75" customHeight="1" x14ac:dyDescent="0.2">
      <c r="L652" s="6"/>
      <c r="M652" s="6"/>
      <c r="N652" s="7"/>
      <c r="O652" s="7"/>
    </row>
    <row r="653" spans="12:15" ht="15.75" customHeight="1" x14ac:dyDescent="0.2">
      <c r="L653" s="6"/>
      <c r="M653" s="6"/>
      <c r="N653" s="7"/>
      <c r="O653" s="7"/>
    </row>
    <row r="654" spans="12:15" ht="15.75" customHeight="1" x14ac:dyDescent="0.2">
      <c r="L654" s="6"/>
      <c r="M654" s="6"/>
      <c r="N654" s="7"/>
      <c r="O654" s="7"/>
    </row>
    <row r="655" spans="12:15" ht="15.75" customHeight="1" x14ac:dyDescent="0.2">
      <c r="L655" s="6"/>
      <c r="M655" s="6"/>
      <c r="N655" s="7"/>
      <c r="O655" s="7"/>
    </row>
    <row r="656" spans="12:15" ht="15.75" customHeight="1" x14ac:dyDescent="0.2">
      <c r="L656" s="6"/>
      <c r="M656" s="6"/>
      <c r="N656" s="7"/>
      <c r="O656" s="7"/>
    </row>
    <row r="657" spans="12:15" ht="15.75" customHeight="1" x14ac:dyDescent="0.2">
      <c r="L657" s="6"/>
      <c r="M657" s="6"/>
      <c r="N657" s="7"/>
      <c r="O657" s="7"/>
    </row>
    <row r="658" spans="12:15" ht="15.75" customHeight="1" x14ac:dyDescent="0.2">
      <c r="L658" s="6"/>
      <c r="M658" s="6"/>
      <c r="N658" s="7"/>
      <c r="O658" s="7"/>
    </row>
    <row r="659" spans="12:15" ht="15.75" customHeight="1" x14ac:dyDescent="0.2">
      <c r="L659" s="6"/>
      <c r="M659" s="6"/>
      <c r="N659" s="7"/>
      <c r="O659" s="7"/>
    </row>
    <row r="660" spans="12:15" ht="15.75" customHeight="1" x14ac:dyDescent="0.2">
      <c r="L660" s="6"/>
      <c r="M660" s="6"/>
      <c r="N660" s="7"/>
      <c r="O660" s="7"/>
    </row>
    <row r="661" spans="12:15" ht="15.75" customHeight="1" x14ac:dyDescent="0.2">
      <c r="L661" s="6"/>
      <c r="M661" s="6"/>
      <c r="N661" s="7"/>
      <c r="O661" s="7"/>
    </row>
    <row r="662" spans="12:15" ht="15.75" customHeight="1" x14ac:dyDescent="0.2">
      <c r="L662" s="6"/>
      <c r="M662" s="6"/>
      <c r="N662" s="7"/>
      <c r="O662" s="7"/>
    </row>
    <row r="663" spans="12:15" ht="15.75" customHeight="1" x14ac:dyDescent="0.2">
      <c r="L663" s="6"/>
      <c r="M663" s="6"/>
      <c r="N663" s="7"/>
      <c r="O663" s="7"/>
    </row>
    <row r="664" spans="12:15" ht="15.75" customHeight="1" x14ac:dyDescent="0.2">
      <c r="L664" s="6"/>
      <c r="M664" s="6"/>
      <c r="N664" s="7"/>
      <c r="O664" s="7"/>
    </row>
    <row r="665" spans="12:15" ht="15.75" customHeight="1" x14ac:dyDescent="0.2">
      <c r="L665" s="6"/>
      <c r="M665" s="6"/>
      <c r="N665" s="7"/>
      <c r="O665" s="7"/>
    </row>
    <row r="666" spans="12:15" ht="15.75" customHeight="1" x14ac:dyDescent="0.2">
      <c r="L666" s="6"/>
      <c r="M666" s="6"/>
      <c r="N666" s="7"/>
      <c r="O666" s="7"/>
    </row>
    <row r="667" spans="12:15" ht="15.75" customHeight="1" x14ac:dyDescent="0.2">
      <c r="L667" s="6"/>
      <c r="M667" s="6"/>
      <c r="N667" s="7"/>
      <c r="O667" s="7"/>
    </row>
    <row r="668" spans="12:15" ht="15.75" customHeight="1" x14ac:dyDescent="0.2">
      <c r="L668" s="6"/>
      <c r="M668" s="6"/>
      <c r="N668" s="7"/>
      <c r="O668" s="7"/>
    </row>
    <row r="669" spans="12:15" ht="15.75" customHeight="1" x14ac:dyDescent="0.2">
      <c r="L669" s="6"/>
      <c r="M669" s="6"/>
      <c r="N669" s="7"/>
      <c r="O669" s="7"/>
    </row>
    <row r="670" spans="12:15" ht="15.75" customHeight="1" x14ac:dyDescent="0.2">
      <c r="L670" s="6"/>
      <c r="M670" s="6"/>
      <c r="N670" s="7"/>
      <c r="O670" s="7"/>
    </row>
    <row r="671" spans="12:15" ht="15.75" customHeight="1" x14ac:dyDescent="0.2">
      <c r="L671" s="6"/>
      <c r="M671" s="6"/>
      <c r="N671" s="7"/>
      <c r="O671" s="7"/>
    </row>
    <row r="672" spans="12:15" ht="15.75" customHeight="1" x14ac:dyDescent="0.2">
      <c r="L672" s="6"/>
      <c r="M672" s="6"/>
      <c r="N672" s="7"/>
      <c r="O672" s="7"/>
    </row>
    <row r="673" spans="12:15" ht="15.75" customHeight="1" x14ac:dyDescent="0.2">
      <c r="L673" s="6"/>
      <c r="M673" s="6"/>
      <c r="N673" s="7"/>
      <c r="O673" s="7"/>
    </row>
    <row r="674" spans="12:15" ht="15.75" customHeight="1" x14ac:dyDescent="0.2">
      <c r="L674" s="6"/>
      <c r="M674" s="6"/>
      <c r="N674" s="7"/>
      <c r="O674" s="7"/>
    </row>
    <row r="675" spans="12:15" ht="15.75" customHeight="1" x14ac:dyDescent="0.2">
      <c r="L675" s="6"/>
      <c r="M675" s="6"/>
      <c r="N675" s="7"/>
      <c r="O675" s="7"/>
    </row>
    <row r="676" spans="12:15" ht="15.75" customHeight="1" x14ac:dyDescent="0.2">
      <c r="L676" s="6"/>
      <c r="M676" s="6"/>
      <c r="N676" s="7"/>
      <c r="O676" s="7"/>
    </row>
    <row r="677" spans="12:15" ht="15.75" customHeight="1" x14ac:dyDescent="0.2">
      <c r="L677" s="6"/>
      <c r="M677" s="6"/>
      <c r="N677" s="7"/>
      <c r="O677" s="7"/>
    </row>
    <row r="678" spans="12:15" ht="15.75" customHeight="1" x14ac:dyDescent="0.2">
      <c r="L678" s="6"/>
      <c r="M678" s="6"/>
      <c r="N678" s="7"/>
      <c r="O678" s="7"/>
    </row>
    <row r="679" spans="12:15" ht="15.75" customHeight="1" x14ac:dyDescent="0.2">
      <c r="L679" s="6"/>
      <c r="M679" s="6"/>
      <c r="N679" s="7"/>
      <c r="O679" s="7"/>
    </row>
    <row r="680" spans="12:15" ht="15.75" customHeight="1" x14ac:dyDescent="0.2">
      <c r="L680" s="6"/>
      <c r="M680" s="6"/>
      <c r="N680" s="7"/>
      <c r="O680" s="7"/>
    </row>
    <row r="681" spans="12:15" ht="15.75" customHeight="1" x14ac:dyDescent="0.2">
      <c r="L681" s="6"/>
      <c r="M681" s="6"/>
      <c r="N681" s="7"/>
      <c r="O681" s="7"/>
    </row>
    <row r="682" spans="12:15" ht="15.75" customHeight="1" x14ac:dyDescent="0.2">
      <c r="L682" s="6"/>
      <c r="M682" s="6"/>
      <c r="N682" s="7"/>
      <c r="O682" s="7"/>
    </row>
    <row r="683" spans="12:15" ht="15.75" customHeight="1" x14ac:dyDescent="0.2">
      <c r="L683" s="6"/>
      <c r="M683" s="6"/>
      <c r="N683" s="7"/>
      <c r="O683" s="7"/>
    </row>
    <row r="684" spans="12:15" ht="15.75" customHeight="1" x14ac:dyDescent="0.2">
      <c r="L684" s="6"/>
      <c r="M684" s="6"/>
      <c r="N684" s="7"/>
      <c r="O684" s="7"/>
    </row>
    <row r="685" spans="12:15" ht="15.75" customHeight="1" x14ac:dyDescent="0.2">
      <c r="L685" s="6"/>
      <c r="M685" s="6"/>
      <c r="N685" s="7"/>
      <c r="O685" s="7"/>
    </row>
    <row r="686" spans="12:15" ht="15.75" customHeight="1" x14ac:dyDescent="0.2">
      <c r="L686" s="6"/>
      <c r="M686" s="6"/>
      <c r="N686" s="7"/>
      <c r="O686" s="7"/>
    </row>
    <row r="687" spans="12:15" ht="15.75" customHeight="1" x14ac:dyDescent="0.2">
      <c r="L687" s="6"/>
      <c r="M687" s="6"/>
      <c r="N687" s="7"/>
      <c r="O687" s="7"/>
    </row>
    <row r="688" spans="12:15" ht="15.75" customHeight="1" x14ac:dyDescent="0.2">
      <c r="L688" s="6"/>
      <c r="M688" s="6"/>
      <c r="N688" s="7"/>
      <c r="O688" s="7"/>
    </row>
    <row r="689" spans="12:15" ht="15.75" customHeight="1" x14ac:dyDescent="0.2">
      <c r="L689" s="6"/>
      <c r="M689" s="6"/>
      <c r="N689" s="7"/>
      <c r="O689" s="7"/>
    </row>
    <row r="690" spans="12:15" ht="15.75" customHeight="1" x14ac:dyDescent="0.2">
      <c r="L690" s="6"/>
      <c r="M690" s="6"/>
      <c r="N690" s="7"/>
      <c r="O690" s="7"/>
    </row>
    <row r="691" spans="12:15" ht="15.75" customHeight="1" x14ac:dyDescent="0.2">
      <c r="L691" s="6"/>
      <c r="M691" s="6"/>
      <c r="N691" s="7"/>
      <c r="O691" s="7"/>
    </row>
    <row r="692" spans="12:15" ht="15.75" customHeight="1" x14ac:dyDescent="0.2">
      <c r="L692" s="6"/>
      <c r="M692" s="6"/>
      <c r="N692" s="7"/>
      <c r="O692" s="7"/>
    </row>
    <row r="693" spans="12:15" ht="15.75" customHeight="1" x14ac:dyDescent="0.2">
      <c r="L693" s="6"/>
      <c r="M693" s="6"/>
      <c r="N693" s="7"/>
      <c r="O693" s="7"/>
    </row>
    <row r="694" spans="12:15" ht="15.75" customHeight="1" x14ac:dyDescent="0.2">
      <c r="L694" s="6"/>
      <c r="M694" s="6"/>
      <c r="N694" s="7"/>
      <c r="O694" s="7"/>
    </row>
    <row r="695" spans="12:15" ht="15.75" customHeight="1" x14ac:dyDescent="0.2">
      <c r="L695" s="6"/>
      <c r="M695" s="6"/>
      <c r="N695" s="7"/>
      <c r="O695" s="7"/>
    </row>
    <row r="696" spans="12:15" ht="15.75" customHeight="1" x14ac:dyDescent="0.2">
      <c r="L696" s="6"/>
      <c r="M696" s="6"/>
      <c r="N696" s="7"/>
      <c r="O696" s="7"/>
    </row>
    <row r="697" spans="12:15" ht="15.75" customHeight="1" x14ac:dyDescent="0.2">
      <c r="L697" s="6"/>
      <c r="M697" s="6"/>
      <c r="N697" s="7"/>
      <c r="O697" s="7"/>
    </row>
    <row r="698" spans="12:15" ht="15.75" customHeight="1" x14ac:dyDescent="0.2">
      <c r="L698" s="6"/>
      <c r="M698" s="6"/>
      <c r="N698" s="7"/>
      <c r="O698" s="7"/>
    </row>
    <row r="699" spans="12:15" ht="15.75" customHeight="1" x14ac:dyDescent="0.2">
      <c r="L699" s="6"/>
      <c r="M699" s="6"/>
      <c r="N699" s="7"/>
      <c r="O699" s="7"/>
    </row>
    <row r="700" spans="12:15" ht="15.75" customHeight="1" x14ac:dyDescent="0.2">
      <c r="L700" s="6"/>
      <c r="M700" s="6"/>
      <c r="N700" s="7"/>
      <c r="O700" s="7"/>
    </row>
    <row r="701" spans="12:15" ht="15.75" customHeight="1" x14ac:dyDescent="0.2">
      <c r="L701" s="6"/>
      <c r="M701" s="6"/>
      <c r="N701" s="7"/>
      <c r="O701" s="7"/>
    </row>
    <row r="702" spans="12:15" ht="15.75" customHeight="1" x14ac:dyDescent="0.2">
      <c r="L702" s="6"/>
      <c r="M702" s="6"/>
      <c r="N702" s="7"/>
      <c r="O702" s="7"/>
    </row>
    <row r="703" spans="12:15" ht="15.75" customHeight="1" x14ac:dyDescent="0.2">
      <c r="L703" s="6"/>
      <c r="M703" s="6"/>
      <c r="N703" s="7"/>
      <c r="O703" s="7"/>
    </row>
    <row r="704" spans="12:15" ht="15.75" customHeight="1" x14ac:dyDescent="0.2">
      <c r="L704" s="6"/>
      <c r="M704" s="6"/>
      <c r="N704" s="7"/>
      <c r="O704" s="7"/>
    </row>
    <row r="705" spans="12:15" ht="15.75" customHeight="1" x14ac:dyDescent="0.2">
      <c r="L705" s="6"/>
      <c r="M705" s="6"/>
      <c r="N705" s="7"/>
      <c r="O705" s="7"/>
    </row>
    <row r="706" spans="12:15" ht="15.75" customHeight="1" x14ac:dyDescent="0.2">
      <c r="L706" s="6"/>
      <c r="M706" s="6"/>
      <c r="N706" s="7"/>
      <c r="O706" s="7"/>
    </row>
    <row r="707" spans="12:15" ht="15.75" customHeight="1" x14ac:dyDescent="0.2">
      <c r="L707" s="6"/>
      <c r="M707" s="6"/>
      <c r="N707" s="7"/>
      <c r="O707" s="7"/>
    </row>
    <row r="708" spans="12:15" ht="15.75" customHeight="1" x14ac:dyDescent="0.2">
      <c r="L708" s="6"/>
      <c r="M708" s="6"/>
      <c r="N708" s="7"/>
      <c r="O708" s="7"/>
    </row>
    <row r="709" spans="12:15" ht="15.75" customHeight="1" x14ac:dyDescent="0.2">
      <c r="L709" s="6"/>
      <c r="M709" s="6"/>
      <c r="N709" s="7"/>
      <c r="O709" s="7"/>
    </row>
    <row r="710" spans="12:15" ht="15.75" customHeight="1" x14ac:dyDescent="0.2">
      <c r="L710" s="6"/>
      <c r="M710" s="6"/>
      <c r="N710" s="7"/>
      <c r="O710" s="7"/>
    </row>
    <row r="711" spans="12:15" ht="15.75" customHeight="1" x14ac:dyDescent="0.2">
      <c r="L711" s="6"/>
      <c r="M711" s="6"/>
      <c r="N711" s="7"/>
      <c r="O711" s="7"/>
    </row>
    <row r="712" spans="12:15" ht="15.75" customHeight="1" x14ac:dyDescent="0.2">
      <c r="L712" s="6"/>
      <c r="M712" s="6"/>
      <c r="N712" s="7"/>
      <c r="O712" s="7"/>
    </row>
    <row r="713" spans="12:15" ht="15.75" customHeight="1" x14ac:dyDescent="0.2">
      <c r="L713" s="6"/>
      <c r="M713" s="6"/>
      <c r="N713" s="7"/>
      <c r="O713" s="7"/>
    </row>
    <row r="714" spans="12:15" ht="15.75" customHeight="1" x14ac:dyDescent="0.2">
      <c r="L714" s="6"/>
      <c r="M714" s="6"/>
      <c r="N714" s="7"/>
      <c r="O714" s="7"/>
    </row>
    <row r="715" spans="12:15" ht="15.75" customHeight="1" x14ac:dyDescent="0.2">
      <c r="L715" s="6"/>
      <c r="M715" s="6"/>
      <c r="N715" s="7"/>
      <c r="O715" s="7"/>
    </row>
    <row r="716" spans="12:15" ht="15.75" customHeight="1" x14ac:dyDescent="0.2">
      <c r="L716" s="6"/>
      <c r="M716" s="6"/>
      <c r="N716" s="7"/>
      <c r="O716" s="7"/>
    </row>
    <row r="717" spans="12:15" ht="15.75" customHeight="1" x14ac:dyDescent="0.2">
      <c r="L717" s="6"/>
      <c r="M717" s="6"/>
      <c r="N717" s="7"/>
      <c r="O717" s="7"/>
    </row>
    <row r="718" spans="12:15" ht="15.75" customHeight="1" x14ac:dyDescent="0.2">
      <c r="L718" s="6"/>
      <c r="M718" s="6"/>
      <c r="N718" s="7"/>
      <c r="O718" s="7"/>
    </row>
    <row r="719" spans="12:15" ht="15.75" customHeight="1" x14ac:dyDescent="0.2">
      <c r="L719" s="6"/>
      <c r="M719" s="6"/>
      <c r="N719" s="7"/>
      <c r="O719" s="7"/>
    </row>
    <row r="720" spans="12:15" ht="15.75" customHeight="1" x14ac:dyDescent="0.2">
      <c r="L720" s="6"/>
      <c r="M720" s="6"/>
      <c r="N720" s="7"/>
      <c r="O720" s="7"/>
    </row>
    <row r="721" spans="12:15" ht="15.75" customHeight="1" x14ac:dyDescent="0.2">
      <c r="L721" s="6"/>
      <c r="M721" s="6"/>
      <c r="N721" s="7"/>
      <c r="O721" s="7"/>
    </row>
    <row r="722" spans="12:15" ht="15.75" customHeight="1" x14ac:dyDescent="0.2">
      <c r="L722" s="6"/>
      <c r="M722" s="6"/>
      <c r="N722" s="7"/>
      <c r="O722" s="7"/>
    </row>
    <row r="723" spans="12:15" ht="15.75" customHeight="1" x14ac:dyDescent="0.2">
      <c r="L723" s="6"/>
      <c r="M723" s="6"/>
      <c r="N723" s="7"/>
      <c r="O723" s="7"/>
    </row>
    <row r="724" spans="12:15" ht="15.75" customHeight="1" x14ac:dyDescent="0.2">
      <c r="L724" s="6"/>
      <c r="M724" s="6"/>
      <c r="N724" s="7"/>
      <c r="O724" s="7"/>
    </row>
    <row r="725" spans="12:15" ht="15.75" customHeight="1" x14ac:dyDescent="0.2">
      <c r="L725" s="6"/>
      <c r="M725" s="6"/>
      <c r="N725" s="7"/>
      <c r="O725" s="7"/>
    </row>
    <row r="726" spans="12:15" ht="15.75" customHeight="1" x14ac:dyDescent="0.2">
      <c r="L726" s="6"/>
      <c r="M726" s="6"/>
      <c r="N726" s="7"/>
      <c r="O726" s="7"/>
    </row>
    <row r="727" spans="12:15" ht="15.75" customHeight="1" x14ac:dyDescent="0.2">
      <c r="L727" s="6"/>
      <c r="M727" s="6"/>
      <c r="N727" s="7"/>
      <c r="O727" s="7"/>
    </row>
    <row r="728" spans="12:15" ht="15.75" customHeight="1" x14ac:dyDescent="0.2">
      <c r="L728" s="6"/>
      <c r="M728" s="6"/>
      <c r="N728" s="7"/>
      <c r="O728" s="7"/>
    </row>
    <row r="729" spans="12:15" ht="15.75" customHeight="1" x14ac:dyDescent="0.2">
      <c r="L729" s="6"/>
      <c r="M729" s="6"/>
      <c r="N729" s="7"/>
      <c r="O729" s="7"/>
    </row>
    <row r="730" spans="12:15" ht="15.75" customHeight="1" x14ac:dyDescent="0.2">
      <c r="L730" s="6"/>
      <c r="M730" s="6"/>
      <c r="N730" s="7"/>
      <c r="O730" s="7"/>
    </row>
    <row r="731" spans="12:15" ht="15.75" customHeight="1" x14ac:dyDescent="0.2">
      <c r="L731" s="6"/>
      <c r="M731" s="6"/>
      <c r="N731" s="7"/>
      <c r="O731" s="7"/>
    </row>
    <row r="732" spans="12:15" ht="15.75" customHeight="1" x14ac:dyDescent="0.2">
      <c r="L732" s="6"/>
      <c r="M732" s="6"/>
      <c r="N732" s="7"/>
      <c r="O732" s="7"/>
    </row>
    <row r="733" spans="12:15" ht="15.75" customHeight="1" x14ac:dyDescent="0.2">
      <c r="L733" s="6"/>
      <c r="M733" s="6"/>
      <c r="N733" s="7"/>
      <c r="O733" s="7"/>
    </row>
    <row r="734" spans="12:15" ht="15.75" customHeight="1" x14ac:dyDescent="0.2">
      <c r="L734" s="6"/>
      <c r="M734" s="6"/>
      <c r="N734" s="7"/>
      <c r="O734" s="7"/>
    </row>
    <row r="735" spans="12:15" ht="15.75" customHeight="1" x14ac:dyDescent="0.2">
      <c r="L735" s="6"/>
      <c r="M735" s="6"/>
      <c r="N735" s="7"/>
      <c r="O735" s="7"/>
    </row>
    <row r="736" spans="12:15" ht="15.75" customHeight="1" x14ac:dyDescent="0.2">
      <c r="L736" s="6"/>
      <c r="M736" s="6"/>
      <c r="N736" s="7"/>
      <c r="O736" s="7"/>
    </row>
    <row r="737" spans="12:15" ht="15.75" customHeight="1" x14ac:dyDescent="0.2">
      <c r="L737" s="6"/>
      <c r="M737" s="6"/>
      <c r="N737" s="7"/>
      <c r="O737" s="7"/>
    </row>
    <row r="738" spans="12:15" ht="15.75" customHeight="1" x14ac:dyDescent="0.2">
      <c r="L738" s="6"/>
      <c r="M738" s="6"/>
      <c r="N738" s="7"/>
      <c r="O738" s="7"/>
    </row>
    <row r="739" spans="12:15" ht="15.75" customHeight="1" x14ac:dyDescent="0.2">
      <c r="L739" s="6"/>
      <c r="M739" s="6"/>
      <c r="N739" s="7"/>
      <c r="O739" s="7"/>
    </row>
    <row r="740" spans="12:15" ht="15.75" customHeight="1" x14ac:dyDescent="0.2">
      <c r="L740" s="6"/>
      <c r="M740" s="6"/>
      <c r="N740" s="7"/>
      <c r="O740" s="7"/>
    </row>
    <row r="741" spans="12:15" ht="15.75" customHeight="1" x14ac:dyDescent="0.2">
      <c r="L741" s="6"/>
      <c r="M741" s="6"/>
      <c r="N741" s="7"/>
      <c r="O741" s="7"/>
    </row>
    <row r="742" spans="12:15" ht="15.75" customHeight="1" x14ac:dyDescent="0.2">
      <c r="L742" s="6"/>
      <c r="M742" s="6"/>
      <c r="N742" s="7"/>
      <c r="O742" s="7"/>
    </row>
    <row r="743" spans="12:15" ht="15.75" customHeight="1" x14ac:dyDescent="0.2">
      <c r="L743" s="6"/>
      <c r="M743" s="6"/>
      <c r="N743" s="7"/>
      <c r="O743" s="7"/>
    </row>
    <row r="744" spans="12:15" ht="15.75" customHeight="1" x14ac:dyDescent="0.2">
      <c r="L744" s="6"/>
      <c r="M744" s="6"/>
      <c r="N744" s="7"/>
      <c r="O744" s="7"/>
    </row>
    <row r="745" spans="12:15" ht="15.75" customHeight="1" x14ac:dyDescent="0.2">
      <c r="L745" s="6"/>
      <c r="M745" s="6"/>
      <c r="N745" s="7"/>
      <c r="O745" s="7"/>
    </row>
    <row r="746" spans="12:15" ht="15.75" customHeight="1" x14ac:dyDescent="0.2">
      <c r="L746" s="6"/>
      <c r="M746" s="6"/>
      <c r="N746" s="7"/>
      <c r="O746" s="7"/>
    </row>
    <row r="747" spans="12:15" ht="15.75" customHeight="1" x14ac:dyDescent="0.2">
      <c r="L747" s="6"/>
      <c r="M747" s="6"/>
      <c r="N747" s="7"/>
      <c r="O747" s="7"/>
    </row>
    <row r="748" spans="12:15" ht="15.75" customHeight="1" x14ac:dyDescent="0.2">
      <c r="L748" s="6"/>
      <c r="M748" s="6"/>
      <c r="N748" s="7"/>
      <c r="O748" s="7"/>
    </row>
    <row r="749" spans="12:15" ht="15.75" customHeight="1" x14ac:dyDescent="0.2">
      <c r="L749" s="6"/>
      <c r="M749" s="6"/>
      <c r="N749" s="7"/>
      <c r="O749" s="7"/>
    </row>
    <row r="750" spans="12:15" ht="15.75" customHeight="1" x14ac:dyDescent="0.2">
      <c r="L750" s="6"/>
      <c r="M750" s="6"/>
      <c r="N750" s="7"/>
      <c r="O750" s="7"/>
    </row>
    <row r="751" spans="12:15" ht="15.75" customHeight="1" x14ac:dyDescent="0.2">
      <c r="L751" s="6"/>
      <c r="M751" s="6"/>
      <c r="N751" s="7"/>
      <c r="O751" s="7"/>
    </row>
    <row r="752" spans="12:15" ht="15.75" customHeight="1" x14ac:dyDescent="0.2">
      <c r="L752" s="6"/>
      <c r="M752" s="6"/>
      <c r="N752" s="7"/>
      <c r="O752" s="7"/>
    </row>
    <row r="753" spans="12:15" ht="15.75" customHeight="1" x14ac:dyDescent="0.2">
      <c r="L753" s="6"/>
      <c r="M753" s="6"/>
      <c r="N753" s="7"/>
      <c r="O753" s="7"/>
    </row>
    <row r="754" spans="12:15" ht="15.75" customHeight="1" x14ac:dyDescent="0.2">
      <c r="L754" s="6"/>
      <c r="M754" s="6"/>
      <c r="N754" s="7"/>
      <c r="O754" s="7"/>
    </row>
    <row r="755" spans="12:15" ht="15.75" customHeight="1" x14ac:dyDescent="0.2">
      <c r="L755" s="6"/>
      <c r="M755" s="6"/>
      <c r="N755" s="7"/>
      <c r="O755" s="7"/>
    </row>
    <row r="756" spans="12:15" ht="15.75" customHeight="1" x14ac:dyDescent="0.2">
      <c r="L756" s="6"/>
      <c r="M756" s="6"/>
      <c r="N756" s="7"/>
      <c r="O756" s="7"/>
    </row>
    <row r="757" spans="12:15" ht="15.75" customHeight="1" x14ac:dyDescent="0.2">
      <c r="L757" s="6"/>
      <c r="M757" s="6"/>
      <c r="N757" s="7"/>
      <c r="O757" s="7"/>
    </row>
    <row r="758" spans="12:15" ht="15.75" customHeight="1" x14ac:dyDescent="0.2">
      <c r="L758" s="6"/>
      <c r="M758" s="6"/>
      <c r="N758" s="7"/>
      <c r="O758" s="7"/>
    </row>
    <row r="759" spans="12:15" ht="15.75" customHeight="1" x14ac:dyDescent="0.2">
      <c r="L759" s="6"/>
      <c r="M759" s="6"/>
      <c r="N759" s="7"/>
      <c r="O759" s="7"/>
    </row>
    <row r="760" spans="12:15" ht="15.75" customHeight="1" x14ac:dyDescent="0.2">
      <c r="L760" s="6"/>
      <c r="M760" s="6"/>
      <c r="N760" s="7"/>
      <c r="O760" s="7"/>
    </row>
    <row r="761" spans="12:15" ht="15.75" customHeight="1" x14ac:dyDescent="0.2">
      <c r="L761" s="6"/>
      <c r="M761" s="6"/>
      <c r="N761" s="7"/>
      <c r="O761" s="7"/>
    </row>
    <row r="762" spans="12:15" ht="15.75" customHeight="1" x14ac:dyDescent="0.2">
      <c r="L762" s="6"/>
      <c r="M762" s="6"/>
      <c r="N762" s="7"/>
      <c r="O762" s="7"/>
    </row>
    <row r="763" spans="12:15" ht="15.75" customHeight="1" x14ac:dyDescent="0.2">
      <c r="L763" s="6"/>
      <c r="M763" s="6"/>
      <c r="N763" s="7"/>
      <c r="O763" s="7"/>
    </row>
    <row r="764" spans="12:15" ht="15.75" customHeight="1" x14ac:dyDescent="0.2">
      <c r="L764" s="6"/>
      <c r="M764" s="6"/>
      <c r="N764" s="7"/>
      <c r="O764" s="7"/>
    </row>
    <row r="765" spans="12:15" ht="15.75" customHeight="1" x14ac:dyDescent="0.2">
      <c r="L765" s="6"/>
      <c r="M765" s="6"/>
      <c r="N765" s="7"/>
      <c r="O765" s="7"/>
    </row>
    <row r="766" spans="12:15" ht="15.75" customHeight="1" x14ac:dyDescent="0.2">
      <c r="L766" s="6"/>
      <c r="M766" s="6"/>
      <c r="N766" s="7"/>
      <c r="O766" s="7"/>
    </row>
    <row r="767" spans="12:15" ht="15.75" customHeight="1" x14ac:dyDescent="0.2">
      <c r="L767" s="6"/>
      <c r="M767" s="6"/>
      <c r="N767" s="7"/>
      <c r="O767" s="7"/>
    </row>
    <row r="768" spans="12:15" ht="15.75" customHeight="1" x14ac:dyDescent="0.2">
      <c r="L768" s="6"/>
      <c r="M768" s="6"/>
      <c r="N768" s="7"/>
      <c r="O768" s="7"/>
    </row>
    <row r="769" spans="12:15" ht="15.75" customHeight="1" x14ac:dyDescent="0.2">
      <c r="L769" s="6"/>
      <c r="M769" s="6"/>
      <c r="N769" s="7"/>
      <c r="O769" s="7"/>
    </row>
    <row r="770" spans="12:15" ht="15.75" customHeight="1" x14ac:dyDescent="0.2">
      <c r="L770" s="6"/>
      <c r="M770" s="6"/>
      <c r="N770" s="7"/>
      <c r="O770" s="7"/>
    </row>
    <row r="771" spans="12:15" ht="15.75" customHeight="1" x14ac:dyDescent="0.2">
      <c r="L771" s="6"/>
      <c r="M771" s="6"/>
      <c r="N771" s="7"/>
      <c r="O771" s="7"/>
    </row>
    <row r="772" spans="12:15" ht="15.75" customHeight="1" x14ac:dyDescent="0.2">
      <c r="L772" s="6"/>
      <c r="M772" s="6"/>
      <c r="N772" s="7"/>
      <c r="O772" s="7"/>
    </row>
    <row r="773" spans="12:15" ht="15.75" customHeight="1" x14ac:dyDescent="0.2">
      <c r="L773" s="6"/>
      <c r="M773" s="6"/>
      <c r="N773" s="7"/>
      <c r="O773" s="7"/>
    </row>
    <row r="774" spans="12:15" ht="15.75" customHeight="1" x14ac:dyDescent="0.2">
      <c r="L774" s="6"/>
      <c r="M774" s="6"/>
      <c r="N774" s="7"/>
      <c r="O774" s="7"/>
    </row>
    <row r="775" spans="12:15" ht="15.75" customHeight="1" x14ac:dyDescent="0.2">
      <c r="L775" s="6"/>
      <c r="M775" s="6"/>
      <c r="N775" s="7"/>
      <c r="O775" s="7"/>
    </row>
    <row r="776" spans="12:15" ht="15.75" customHeight="1" x14ac:dyDescent="0.2">
      <c r="L776" s="6"/>
      <c r="M776" s="6"/>
      <c r="N776" s="7"/>
      <c r="O776" s="7"/>
    </row>
    <row r="777" spans="12:15" ht="15.75" customHeight="1" x14ac:dyDescent="0.2">
      <c r="L777" s="6"/>
      <c r="M777" s="6"/>
      <c r="N777" s="7"/>
      <c r="O777" s="7"/>
    </row>
    <row r="778" spans="12:15" ht="15.75" customHeight="1" x14ac:dyDescent="0.2">
      <c r="L778" s="6"/>
      <c r="M778" s="6"/>
      <c r="N778" s="7"/>
      <c r="O778" s="7"/>
    </row>
    <row r="779" spans="12:15" ht="15.75" customHeight="1" x14ac:dyDescent="0.2">
      <c r="L779" s="6"/>
      <c r="M779" s="6"/>
      <c r="N779" s="7"/>
      <c r="O779" s="7"/>
    </row>
    <row r="780" spans="12:15" ht="15.75" customHeight="1" x14ac:dyDescent="0.2">
      <c r="L780" s="6"/>
      <c r="M780" s="6"/>
      <c r="N780" s="7"/>
      <c r="O780" s="7"/>
    </row>
    <row r="781" spans="12:15" ht="15.75" customHeight="1" x14ac:dyDescent="0.2">
      <c r="L781" s="6"/>
      <c r="M781" s="6"/>
      <c r="N781" s="7"/>
      <c r="O781" s="7"/>
    </row>
    <row r="782" spans="12:15" ht="15.75" customHeight="1" x14ac:dyDescent="0.2">
      <c r="L782" s="6"/>
      <c r="M782" s="6"/>
      <c r="N782" s="7"/>
      <c r="O782" s="7"/>
    </row>
    <row r="783" spans="12:15" ht="15.75" customHeight="1" x14ac:dyDescent="0.2">
      <c r="L783" s="6"/>
      <c r="M783" s="6"/>
      <c r="N783" s="7"/>
      <c r="O783" s="7"/>
    </row>
    <row r="784" spans="12:15" ht="15.75" customHeight="1" x14ac:dyDescent="0.2">
      <c r="L784" s="6"/>
      <c r="M784" s="6"/>
      <c r="N784" s="7"/>
      <c r="O784" s="7"/>
    </row>
    <row r="785" spans="12:15" ht="15.75" customHeight="1" x14ac:dyDescent="0.2">
      <c r="L785" s="6"/>
      <c r="M785" s="6"/>
      <c r="N785" s="7"/>
      <c r="O785" s="7"/>
    </row>
    <row r="786" spans="12:15" ht="15.75" customHeight="1" x14ac:dyDescent="0.2">
      <c r="L786" s="6"/>
      <c r="M786" s="6"/>
      <c r="N786" s="7"/>
      <c r="O786" s="7"/>
    </row>
    <row r="787" spans="12:15" ht="15.75" customHeight="1" x14ac:dyDescent="0.2">
      <c r="L787" s="6"/>
      <c r="M787" s="6"/>
      <c r="N787" s="7"/>
      <c r="O787" s="7"/>
    </row>
    <row r="788" spans="12:15" ht="15.75" customHeight="1" x14ac:dyDescent="0.2">
      <c r="L788" s="6"/>
      <c r="M788" s="6"/>
      <c r="N788" s="7"/>
      <c r="O788" s="7"/>
    </row>
    <row r="789" spans="12:15" ht="15.75" customHeight="1" x14ac:dyDescent="0.2">
      <c r="L789" s="6"/>
      <c r="M789" s="6"/>
      <c r="N789" s="7"/>
      <c r="O789" s="7"/>
    </row>
    <row r="790" spans="12:15" ht="15.75" customHeight="1" x14ac:dyDescent="0.2">
      <c r="L790" s="6"/>
      <c r="M790" s="6"/>
      <c r="N790" s="7"/>
      <c r="O790" s="7"/>
    </row>
    <row r="791" spans="12:15" ht="15.75" customHeight="1" x14ac:dyDescent="0.2">
      <c r="L791" s="6"/>
      <c r="M791" s="6"/>
      <c r="N791" s="7"/>
      <c r="O791" s="7"/>
    </row>
    <row r="792" spans="12:15" ht="15.75" customHeight="1" x14ac:dyDescent="0.2">
      <c r="L792" s="6"/>
      <c r="M792" s="6"/>
      <c r="N792" s="7"/>
      <c r="O792" s="7"/>
    </row>
    <row r="793" spans="12:15" ht="15.75" customHeight="1" x14ac:dyDescent="0.2">
      <c r="L793" s="6"/>
      <c r="M793" s="6"/>
      <c r="N793" s="7"/>
      <c r="O793" s="7"/>
    </row>
    <row r="794" spans="12:15" ht="15.75" customHeight="1" x14ac:dyDescent="0.2">
      <c r="L794" s="6"/>
      <c r="M794" s="6"/>
      <c r="N794" s="7"/>
      <c r="O794" s="7"/>
    </row>
    <row r="795" spans="12:15" ht="15.75" customHeight="1" x14ac:dyDescent="0.2">
      <c r="L795" s="6"/>
      <c r="M795" s="6"/>
      <c r="N795" s="7"/>
      <c r="O795" s="7"/>
    </row>
    <row r="796" spans="12:15" ht="15.75" customHeight="1" x14ac:dyDescent="0.2">
      <c r="L796" s="6"/>
      <c r="M796" s="6"/>
      <c r="N796" s="7"/>
      <c r="O796" s="7"/>
    </row>
    <row r="797" spans="12:15" ht="15.75" customHeight="1" x14ac:dyDescent="0.2">
      <c r="L797" s="6"/>
      <c r="M797" s="6"/>
      <c r="N797" s="7"/>
      <c r="O797" s="7"/>
    </row>
    <row r="798" spans="12:15" ht="15.75" customHeight="1" x14ac:dyDescent="0.2">
      <c r="L798" s="6"/>
      <c r="M798" s="6"/>
      <c r="N798" s="7"/>
      <c r="O798" s="7"/>
    </row>
    <row r="799" spans="12:15" ht="15.75" customHeight="1" x14ac:dyDescent="0.2">
      <c r="L799" s="6"/>
      <c r="M799" s="6"/>
      <c r="N799" s="7"/>
      <c r="O799" s="7"/>
    </row>
    <row r="800" spans="12:15" ht="15.75" customHeight="1" x14ac:dyDescent="0.2">
      <c r="L800" s="6"/>
      <c r="M800" s="6"/>
      <c r="N800" s="7"/>
      <c r="O800" s="7"/>
    </row>
    <row r="801" spans="12:15" ht="15.75" customHeight="1" x14ac:dyDescent="0.2">
      <c r="L801" s="6"/>
      <c r="M801" s="6"/>
      <c r="N801" s="7"/>
      <c r="O801" s="7"/>
    </row>
    <row r="802" spans="12:15" ht="15.75" customHeight="1" x14ac:dyDescent="0.2">
      <c r="L802" s="6"/>
      <c r="M802" s="6"/>
      <c r="N802" s="7"/>
      <c r="O802" s="7"/>
    </row>
    <row r="803" spans="12:15" ht="15.75" customHeight="1" x14ac:dyDescent="0.2">
      <c r="L803" s="6"/>
      <c r="M803" s="6"/>
      <c r="N803" s="7"/>
      <c r="O803" s="7"/>
    </row>
    <row r="804" spans="12:15" ht="15.75" customHeight="1" x14ac:dyDescent="0.2">
      <c r="L804" s="6"/>
      <c r="M804" s="6"/>
      <c r="N804" s="7"/>
      <c r="O804" s="7"/>
    </row>
    <row r="805" spans="12:15" ht="15.75" customHeight="1" x14ac:dyDescent="0.2">
      <c r="L805" s="6"/>
      <c r="M805" s="6"/>
      <c r="N805" s="7"/>
      <c r="O805" s="7"/>
    </row>
    <row r="806" spans="12:15" ht="15.75" customHeight="1" x14ac:dyDescent="0.2">
      <c r="L806" s="6"/>
      <c r="M806" s="6"/>
      <c r="N806" s="7"/>
      <c r="O806" s="7"/>
    </row>
    <row r="807" spans="12:15" ht="15.75" customHeight="1" x14ac:dyDescent="0.2">
      <c r="L807" s="6"/>
      <c r="M807" s="6"/>
      <c r="N807" s="7"/>
      <c r="O807" s="7"/>
    </row>
    <row r="808" spans="12:15" ht="15.75" customHeight="1" x14ac:dyDescent="0.2">
      <c r="L808" s="6"/>
      <c r="M808" s="6"/>
      <c r="N808" s="7"/>
      <c r="O808" s="7"/>
    </row>
    <row r="809" spans="12:15" ht="15.75" customHeight="1" x14ac:dyDescent="0.2">
      <c r="L809" s="6"/>
      <c r="M809" s="6"/>
      <c r="N809" s="7"/>
      <c r="O809" s="7"/>
    </row>
    <row r="810" spans="12:15" ht="15.75" customHeight="1" x14ac:dyDescent="0.2">
      <c r="L810" s="6"/>
      <c r="M810" s="6"/>
      <c r="N810" s="7"/>
      <c r="O810" s="7"/>
    </row>
    <row r="811" spans="12:15" ht="15.75" customHeight="1" x14ac:dyDescent="0.2">
      <c r="L811" s="6"/>
      <c r="M811" s="6"/>
      <c r="N811" s="7"/>
      <c r="O811" s="7"/>
    </row>
    <row r="812" spans="12:15" ht="15.75" customHeight="1" x14ac:dyDescent="0.2">
      <c r="L812" s="6"/>
      <c r="M812" s="6"/>
      <c r="N812" s="7"/>
      <c r="O812" s="7"/>
    </row>
    <row r="813" spans="12:15" ht="15.75" customHeight="1" x14ac:dyDescent="0.2">
      <c r="L813" s="6"/>
      <c r="M813" s="6"/>
      <c r="N813" s="7"/>
      <c r="O813" s="7"/>
    </row>
    <row r="814" spans="12:15" ht="15.75" customHeight="1" x14ac:dyDescent="0.2">
      <c r="L814" s="6"/>
      <c r="M814" s="6"/>
      <c r="N814" s="7"/>
      <c r="O814" s="7"/>
    </row>
    <row r="815" spans="12:15" ht="15.75" customHeight="1" x14ac:dyDescent="0.2">
      <c r="L815" s="6"/>
      <c r="M815" s="6"/>
      <c r="N815" s="7"/>
      <c r="O815" s="7"/>
    </row>
    <row r="816" spans="12:15" ht="15.75" customHeight="1" x14ac:dyDescent="0.2">
      <c r="L816" s="6"/>
      <c r="M816" s="6"/>
      <c r="N816" s="7"/>
      <c r="O816" s="7"/>
    </row>
    <row r="817" spans="12:15" ht="15.75" customHeight="1" x14ac:dyDescent="0.2">
      <c r="L817" s="6"/>
      <c r="M817" s="6"/>
      <c r="N817" s="7"/>
      <c r="O817" s="7"/>
    </row>
    <row r="818" spans="12:15" ht="15.75" customHeight="1" x14ac:dyDescent="0.2">
      <c r="L818" s="6"/>
      <c r="M818" s="6"/>
      <c r="N818" s="7"/>
      <c r="O818" s="7"/>
    </row>
    <row r="819" spans="12:15" ht="15.75" customHeight="1" x14ac:dyDescent="0.2">
      <c r="L819" s="6"/>
      <c r="M819" s="6"/>
      <c r="N819" s="7"/>
      <c r="O819" s="7"/>
    </row>
    <row r="820" spans="12:15" ht="15.75" customHeight="1" x14ac:dyDescent="0.2">
      <c r="L820" s="6"/>
      <c r="M820" s="6"/>
      <c r="N820" s="7"/>
      <c r="O820" s="7"/>
    </row>
    <row r="821" spans="12:15" ht="15.75" customHeight="1" x14ac:dyDescent="0.2">
      <c r="L821" s="6"/>
      <c r="M821" s="6"/>
      <c r="N821" s="7"/>
      <c r="O821" s="7"/>
    </row>
    <row r="822" spans="12:15" ht="15.75" customHeight="1" x14ac:dyDescent="0.2">
      <c r="L822" s="6"/>
      <c r="M822" s="6"/>
      <c r="N822" s="7"/>
      <c r="O822" s="7"/>
    </row>
    <row r="823" spans="12:15" ht="15.75" customHeight="1" x14ac:dyDescent="0.2">
      <c r="L823" s="6"/>
      <c r="M823" s="6"/>
      <c r="N823" s="7"/>
      <c r="O823" s="7"/>
    </row>
    <row r="824" spans="12:15" ht="15.75" customHeight="1" x14ac:dyDescent="0.2">
      <c r="L824" s="6"/>
      <c r="M824" s="6"/>
      <c r="N824" s="7"/>
      <c r="O824" s="7"/>
    </row>
    <row r="825" spans="12:15" ht="15.75" customHeight="1" x14ac:dyDescent="0.2">
      <c r="L825" s="6"/>
      <c r="M825" s="6"/>
      <c r="N825" s="7"/>
      <c r="O825" s="7"/>
    </row>
    <row r="826" spans="12:15" ht="15.75" customHeight="1" x14ac:dyDescent="0.2">
      <c r="L826" s="6"/>
      <c r="M826" s="6"/>
      <c r="N826" s="7"/>
      <c r="O826" s="7"/>
    </row>
    <row r="827" spans="12:15" ht="15.75" customHeight="1" x14ac:dyDescent="0.2">
      <c r="L827" s="6"/>
      <c r="M827" s="6"/>
      <c r="N827" s="7"/>
      <c r="O827" s="7"/>
    </row>
    <row r="828" spans="12:15" ht="15.75" customHeight="1" x14ac:dyDescent="0.2">
      <c r="L828" s="6"/>
      <c r="M828" s="6"/>
      <c r="N828" s="7"/>
      <c r="O828" s="7"/>
    </row>
    <row r="829" spans="12:15" ht="15.75" customHeight="1" x14ac:dyDescent="0.2">
      <c r="L829" s="6"/>
      <c r="M829" s="6"/>
      <c r="N829" s="7"/>
      <c r="O829" s="7"/>
    </row>
    <row r="830" spans="12:15" ht="15.75" customHeight="1" x14ac:dyDescent="0.2">
      <c r="L830" s="6"/>
      <c r="M830" s="6"/>
      <c r="N830" s="7"/>
      <c r="O830" s="7"/>
    </row>
    <row r="831" spans="12:15" ht="15.75" customHeight="1" x14ac:dyDescent="0.2">
      <c r="L831" s="6"/>
      <c r="M831" s="6"/>
      <c r="N831" s="7"/>
      <c r="O831" s="7"/>
    </row>
    <row r="832" spans="12:15" ht="15.75" customHeight="1" x14ac:dyDescent="0.2">
      <c r="L832" s="6"/>
      <c r="M832" s="6"/>
      <c r="N832" s="7"/>
      <c r="O832" s="7"/>
    </row>
    <row r="833" spans="12:15" ht="15.75" customHeight="1" x14ac:dyDescent="0.2">
      <c r="L833" s="6"/>
      <c r="M833" s="6"/>
      <c r="N833" s="7"/>
      <c r="O833" s="7"/>
    </row>
    <row r="834" spans="12:15" ht="15.75" customHeight="1" x14ac:dyDescent="0.2">
      <c r="L834" s="6"/>
      <c r="M834" s="6"/>
      <c r="N834" s="7"/>
      <c r="O834" s="7"/>
    </row>
    <row r="835" spans="12:15" ht="15.75" customHeight="1" x14ac:dyDescent="0.2">
      <c r="L835" s="6"/>
      <c r="M835" s="6"/>
      <c r="N835" s="7"/>
      <c r="O835" s="7"/>
    </row>
    <row r="836" spans="12:15" ht="15.75" customHeight="1" x14ac:dyDescent="0.2">
      <c r="L836" s="6"/>
      <c r="M836" s="6"/>
      <c r="N836" s="7"/>
      <c r="O836" s="7"/>
    </row>
    <row r="837" spans="12:15" ht="15.75" customHeight="1" x14ac:dyDescent="0.2">
      <c r="L837" s="6"/>
      <c r="M837" s="6"/>
      <c r="N837" s="7"/>
      <c r="O837" s="7"/>
    </row>
    <row r="838" spans="12:15" ht="15.75" customHeight="1" x14ac:dyDescent="0.2">
      <c r="L838" s="6"/>
      <c r="M838" s="6"/>
      <c r="N838" s="7"/>
      <c r="O838" s="7"/>
    </row>
    <row r="839" spans="12:15" ht="15.75" customHeight="1" x14ac:dyDescent="0.2">
      <c r="L839" s="6"/>
      <c r="M839" s="6"/>
      <c r="N839" s="7"/>
      <c r="O839" s="7"/>
    </row>
    <row r="840" spans="12:15" ht="15.75" customHeight="1" x14ac:dyDescent="0.2">
      <c r="L840" s="6"/>
      <c r="M840" s="6"/>
      <c r="N840" s="7"/>
      <c r="O840" s="7"/>
    </row>
    <row r="841" spans="12:15" ht="15.75" customHeight="1" x14ac:dyDescent="0.2">
      <c r="L841" s="6"/>
      <c r="M841" s="6"/>
      <c r="N841" s="7"/>
      <c r="O841" s="7"/>
    </row>
    <row r="842" spans="12:15" ht="15.75" customHeight="1" x14ac:dyDescent="0.2">
      <c r="L842" s="6"/>
      <c r="M842" s="6"/>
      <c r="N842" s="7"/>
      <c r="O842" s="7"/>
    </row>
    <row r="843" spans="12:15" ht="15.75" customHeight="1" x14ac:dyDescent="0.2">
      <c r="L843" s="6"/>
      <c r="M843" s="6"/>
      <c r="N843" s="7"/>
      <c r="O843" s="7"/>
    </row>
    <row r="844" spans="12:15" ht="15.75" customHeight="1" x14ac:dyDescent="0.2">
      <c r="L844" s="6"/>
      <c r="M844" s="6"/>
      <c r="N844" s="7"/>
      <c r="O844" s="7"/>
    </row>
    <row r="845" spans="12:15" ht="15.75" customHeight="1" x14ac:dyDescent="0.2">
      <c r="L845" s="6"/>
      <c r="M845" s="6"/>
      <c r="N845" s="7"/>
      <c r="O845" s="7"/>
    </row>
    <row r="846" spans="12:15" ht="15.75" customHeight="1" x14ac:dyDescent="0.2">
      <c r="L846" s="6"/>
      <c r="M846" s="6"/>
      <c r="N846" s="7"/>
      <c r="O846" s="7"/>
    </row>
    <row r="847" spans="12:15" ht="15.75" customHeight="1" x14ac:dyDescent="0.2">
      <c r="L847" s="6"/>
      <c r="M847" s="6"/>
      <c r="N847" s="7"/>
      <c r="O847" s="7"/>
    </row>
    <row r="848" spans="12:15" ht="15.75" customHeight="1" x14ac:dyDescent="0.2">
      <c r="L848" s="6"/>
      <c r="M848" s="6"/>
      <c r="N848" s="7"/>
      <c r="O848" s="7"/>
    </row>
    <row r="849" spans="12:15" ht="15.75" customHeight="1" x14ac:dyDescent="0.2">
      <c r="L849" s="6"/>
      <c r="M849" s="6"/>
      <c r="N849" s="7"/>
      <c r="O849" s="7"/>
    </row>
    <row r="850" spans="12:15" ht="15.75" customHeight="1" x14ac:dyDescent="0.2">
      <c r="L850" s="6"/>
      <c r="M850" s="6"/>
      <c r="N850" s="7"/>
      <c r="O850" s="7"/>
    </row>
    <row r="851" spans="12:15" ht="15.75" customHeight="1" x14ac:dyDescent="0.2">
      <c r="L851" s="6"/>
      <c r="M851" s="6"/>
      <c r="N851" s="7"/>
      <c r="O851" s="7"/>
    </row>
    <row r="852" spans="12:15" ht="15.75" customHeight="1" x14ac:dyDescent="0.2">
      <c r="L852" s="6"/>
      <c r="M852" s="6"/>
      <c r="N852" s="7"/>
      <c r="O852" s="7"/>
    </row>
    <row r="853" spans="12:15" ht="15.75" customHeight="1" x14ac:dyDescent="0.2">
      <c r="L853" s="6"/>
      <c r="M853" s="6"/>
      <c r="N853" s="7"/>
      <c r="O853" s="7"/>
    </row>
    <row r="854" spans="12:15" ht="15.75" customHeight="1" x14ac:dyDescent="0.2">
      <c r="L854" s="6"/>
      <c r="M854" s="6"/>
      <c r="N854" s="7"/>
      <c r="O854" s="7"/>
    </row>
    <row r="855" spans="12:15" ht="15.75" customHeight="1" x14ac:dyDescent="0.2">
      <c r="L855" s="6"/>
      <c r="M855" s="6"/>
      <c r="N855" s="7"/>
      <c r="O855" s="7"/>
    </row>
    <row r="856" spans="12:15" ht="15.75" customHeight="1" x14ac:dyDescent="0.2">
      <c r="L856" s="6"/>
      <c r="M856" s="6"/>
      <c r="N856" s="7"/>
      <c r="O856" s="7"/>
    </row>
    <row r="857" spans="12:15" ht="15.75" customHeight="1" x14ac:dyDescent="0.2">
      <c r="L857" s="6"/>
      <c r="M857" s="6"/>
      <c r="N857" s="7"/>
      <c r="O857" s="7"/>
    </row>
    <row r="858" spans="12:15" ht="15.75" customHeight="1" x14ac:dyDescent="0.2">
      <c r="L858" s="6"/>
      <c r="M858" s="6"/>
      <c r="N858" s="7"/>
      <c r="O858" s="7"/>
    </row>
    <row r="859" spans="12:15" ht="15.75" customHeight="1" x14ac:dyDescent="0.2">
      <c r="L859" s="6"/>
      <c r="M859" s="6"/>
      <c r="N859" s="7"/>
      <c r="O859" s="7"/>
    </row>
    <row r="860" spans="12:15" ht="15.75" customHeight="1" x14ac:dyDescent="0.2">
      <c r="L860" s="6"/>
      <c r="M860" s="6"/>
      <c r="N860" s="7"/>
      <c r="O860" s="7"/>
    </row>
    <row r="861" spans="12:15" ht="15.75" customHeight="1" x14ac:dyDescent="0.2">
      <c r="L861" s="6"/>
      <c r="M861" s="6"/>
      <c r="N861" s="7"/>
      <c r="O861" s="7"/>
    </row>
    <row r="862" spans="12:15" ht="15.75" customHeight="1" x14ac:dyDescent="0.2">
      <c r="L862" s="6"/>
      <c r="M862" s="6"/>
      <c r="N862" s="7"/>
      <c r="O862" s="7"/>
    </row>
    <row r="863" spans="12:15" ht="15.75" customHeight="1" x14ac:dyDescent="0.2">
      <c r="L863" s="6"/>
      <c r="M863" s="6"/>
      <c r="N863" s="7"/>
      <c r="O863" s="7"/>
    </row>
    <row r="864" spans="12:15" ht="15.75" customHeight="1" x14ac:dyDescent="0.2">
      <c r="L864" s="6"/>
      <c r="M864" s="6"/>
      <c r="N864" s="7"/>
      <c r="O864" s="7"/>
    </row>
    <row r="865" spans="12:15" ht="15.75" customHeight="1" x14ac:dyDescent="0.2">
      <c r="L865" s="6"/>
      <c r="M865" s="6"/>
      <c r="N865" s="7"/>
      <c r="O865" s="7"/>
    </row>
    <row r="866" spans="12:15" ht="15.75" customHeight="1" x14ac:dyDescent="0.2">
      <c r="L866" s="6"/>
      <c r="M866" s="6"/>
      <c r="N866" s="7"/>
      <c r="O866" s="7"/>
    </row>
    <row r="867" spans="12:15" ht="15.75" customHeight="1" x14ac:dyDescent="0.2">
      <c r="L867" s="6"/>
      <c r="M867" s="6"/>
      <c r="N867" s="7"/>
      <c r="O867" s="7"/>
    </row>
    <row r="868" spans="12:15" ht="15.75" customHeight="1" x14ac:dyDescent="0.2">
      <c r="L868" s="6"/>
      <c r="M868" s="6"/>
      <c r="N868" s="7"/>
      <c r="O868" s="7"/>
    </row>
    <row r="869" spans="12:15" ht="15.75" customHeight="1" x14ac:dyDescent="0.2">
      <c r="L869" s="6"/>
      <c r="M869" s="6"/>
      <c r="N869" s="7"/>
      <c r="O869" s="7"/>
    </row>
    <row r="870" spans="12:15" ht="15.75" customHeight="1" x14ac:dyDescent="0.2">
      <c r="L870" s="6"/>
      <c r="M870" s="6"/>
      <c r="N870" s="7"/>
      <c r="O870" s="7"/>
    </row>
    <row r="871" spans="12:15" ht="15.75" customHeight="1" x14ac:dyDescent="0.2">
      <c r="L871" s="6"/>
      <c r="M871" s="6"/>
      <c r="N871" s="7"/>
      <c r="O871" s="7"/>
    </row>
    <row r="872" spans="12:15" ht="15.75" customHeight="1" x14ac:dyDescent="0.2">
      <c r="L872" s="6"/>
      <c r="M872" s="6"/>
      <c r="N872" s="7"/>
      <c r="O872" s="7"/>
    </row>
    <row r="873" spans="12:15" ht="15.75" customHeight="1" x14ac:dyDescent="0.2">
      <c r="L873" s="6"/>
      <c r="M873" s="6"/>
      <c r="N873" s="7"/>
      <c r="O873" s="7"/>
    </row>
    <row r="874" spans="12:15" ht="15.75" customHeight="1" x14ac:dyDescent="0.2">
      <c r="L874" s="6"/>
      <c r="M874" s="6"/>
      <c r="N874" s="7"/>
      <c r="O874" s="7"/>
    </row>
    <row r="875" spans="12:15" ht="15.75" customHeight="1" x14ac:dyDescent="0.2">
      <c r="L875" s="6"/>
      <c r="M875" s="6"/>
      <c r="N875" s="7"/>
      <c r="O875" s="7"/>
    </row>
    <row r="876" spans="12:15" ht="15.75" customHeight="1" x14ac:dyDescent="0.2">
      <c r="L876" s="6"/>
      <c r="M876" s="6"/>
      <c r="N876" s="7"/>
      <c r="O876" s="7"/>
    </row>
    <row r="877" spans="12:15" ht="15.75" customHeight="1" x14ac:dyDescent="0.2">
      <c r="L877" s="6"/>
      <c r="M877" s="6"/>
      <c r="N877" s="7"/>
      <c r="O877" s="7"/>
    </row>
    <row r="878" spans="12:15" ht="15.75" customHeight="1" x14ac:dyDescent="0.2">
      <c r="L878" s="6"/>
      <c r="M878" s="6"/>
      <c r="N878" s="7"/>
      <c r="O878" s="7"/>
    </row>
    <row r="879" spans="12:15" ht="15.75" customHeight="1" x14ac:dyDescent="0.2">
      <c r="L879" s="6"/>
      <c r="M879" s="6"/>
      <c r="N879" s="7"/>
      <c r="O879" s="7"/>
    </row>
    <row r="880" spans="12:15" ht="15.75" customHeight="1" x14ac:dyDescent="0.2">
      <c r="L880" s="6"/>
      <c r="M880" s="6"/>
      <c r="N880" s="7"/>
      <c r="O880" s="7"/>
    </row>
    <row r="881" spans="12:15" ht="15.75" customHeight="1" x14ac:dyDescent="0.2">
      <c r="L881" s="6"/>
      <c r="M881" s="6"/>
      <c r="N881" s="7"/>
      <c r="O881" s="7"/>
    </row>
    <row r="882" spans="12:15" ht="15.75" customHeight="1" x14ac:dyDescent="0.2">
      <c r="L882" s="6"/>
      <c r="M882" s="6"/>
      <c r="N882" s="7"/>
      <c r="O882" s="7"/>
    </row>
    <row r="883" spans="12:15" ht="15.75" customHeight="1" x14ac:dyDescent="0.2">
      <c r="L883" s="6"/>
      <c r="M883" s="6"/>
      <c r="N883" s="7"/>
      <c r="O883" s="7"/>
    </row>
    <row r="884" spans="12:15" ht="15.75" customHeight="1" x14ac:dyDescent="0.2">
      <c r="L884" s="6"/>
      <c r="M884" s="6"/>
      <c r="N884" s="7"/>
      <c r="O884" s="7"/>
    </row>
    <row r="885" spans="12:15" ht="15.75" customHeight="1" x14ac:dyDescent="0.2">
      <c r="L885" s="6"/>
      <c r="M885" s="6"/>
      <c r="N885" s="7"/>
      <c r="O885" s="7"/>
    </row>
    <row r="886" spans="12:15" ht="15.75" customHeight="1" x14ac:dyDescent="0.2">
      <c r="L886" s="6"/>
      <c r="M886" s="6"/>
      <c r="N886" s="7"/>
      <c r="O886" s="7"/>
    </row>
    <row r="887" spans="12:15" ht="15.75" customHeight="1" x14ac:dyDescent="0.2">
      <c r="L887" s="6"/>
      <c r="M887" s="6"/>
      <c r="N887" s="7"/>
      <c r="O887" s="7"/>
    </row>
    <row r="888" spans="12:15" ht="15.75" customHeight="1" x14ac:dyDescent="0.2">
      <c r="L888" s="6"/>
      <c r="M888" s="6"/>
      <c r="N888" s="7"/>
      <c r="O888" s="7"/>
    </row>
    <row r="889" spans="12:15" ht="15.75" customHeight="1" x14ac:dyDescent="0.2">
      <c r="L889" s="6"/>
      <c r="M889" s="6"/>
      <c r="N889" s="7"/>
      <c r="O889" s="7"/>
    </row>
    <row r="890" spans="12:15" ht="15.75" customHeight="1" x14ac:dyDescent="0.2">
      <c r="L890" s="6"/>
      <c r="M890" s="6"/>
      <c r="N890" s="7"/>
      <c r="O890" s="7"/>
    </row>
    <row r="891" spans="12:15" ht="15.75" customHeight="1" x14ac:dyDescent="0.2">
      <c r="L891" s="6"/>
      <c r="M891" s="6"/>
      <c r="N891" s="7"/>
      <c r="O891" s="7"/>
    </row>
    <row r="892" spans="12:15" ht="15.75" customHeight="1" x14ac:dyDescent="0.2">
      <c r="L892" s="6"/>
      <c r="M892" s="6"/>
      <c r="N892" s="7"/>
      <c r="O892" s="7"/>
    </row>
    <row r="893" spans="12:15" ht="15.75" customHeight="1" x14ac:dyDescent="0.2">
      <c r="L893" s="6"/>
      <c r="M893" s="6"/>
      <c r="N893" s="7"/>
      <c r="O893" s="7"/>
    </row>
    <row r="894" spans="12:15" ht="15.75" customHeight="1" x14ac:dyDescent="0.2">
      <c r="L894" s="6"/>
      <c r="M894" s="6"/>
      <c r="N894" s="7"/>
      <c r="O894" s="7"/>
    </row>
    <row r="895" spans="12:15" ht="15.75" customHeight="1" x14ac:dyDescent="0.2">
      <c r="L895" s="6"/>
      <c r="M895" s="6"/>
      <c r="N895" s="7"/>
      <c r="O895" s="7"/>
    </row>
    <row r="896" spans="12:15" ht="15.75" customHeight="1" x14ac:dyDescent="0.2">
      <c r="L896" s="6"/>
      <c r="M896" s="6"/>
      <c r="N896" s="7"/>
      <c r="O896" s="7"/>
    </row>
    <row r="897" spans="12:15" ht="15.75" customHeight="1" x14ac:dyDescent="0.2">
      <c r="L897" s="6"/>
      <c r="M897" s="6"/>
      <c r="N897" s="7"/>
      <c r="O897" s="7"/>
    </row>
    <row r="898" spans="12:15" ht="15.75" customHeight="1" x14ac:dyDescent="0.2">
      <c r="L898" s="6"/>
      <c r="M898" s="6"/>
      <c r="N898" s="7"/>
      <c r="O898" s="7"/>
    </row>
    <row r="899" spans="12:15" ht="15.75" customHeight="1" x14ac:dyDescent="0.2">
      <c r="L899" s="6"/>
      <c r="M899" s="6"/>
      <c r="N899" s="7"/>
      <c r="O899" s="7"/>
    </row>
    <row r="900" spans="12:15" ht="15.75" customHeight="1" x14ac:dyDescent="0.2">
      <c r="L900" s="6"/>
      <c r="M900" s="6"/>
      <c r="N900" s="7"/>
      <c r="O900" s="7"/>
    </row>
    <row r="901" spans="12:15" ht="15.75" customHeight="1" x14ac:dyDescent="0.2">
      <c r="L901" s="6"/>
      <c r="M901" s="6"/>
      <c r="N901" s="7"/>
      <c r="O901" s="7"/>
    </row>
    <row r="902" spans="12:15" ht="15.75" customHeight="1" x14ac:dyDescent="0.2">
      <c r="L902" s="6"/>
      <c r="M902" s="6"/>
      <c r="N902" s="7"/>
      <c r="O902" s="7"/>
    </row>
    <row r="903" spans="12:15" ht="15.75" customHeight="1" x14ac:dyDescent="0.2">
      <c r="L903" s="6"/>
      <c r="M903" s="6"/>
      <c r="N903" s="7"/>
      <c r="O903" s="7"/>
    </row>
    <row r="904" spans="12:15" ht="15.75" customHeight="1" x14ac:dyDescent="0.2">
      <c r="L904" s="6"/>
      <c r="M904" s="6"/>
      <c r="N904" s="7"/>
      <c r="O904" s="7"/>
    </row>
    <row r="905" spans="12:15" ht="15.75" customHeight="1" x14ac:dyDescent="0.2">
      <c r="L905" s="6"/>
      <c r="M905" s="6"/>
      <c r="N905" s="7"/>
      <c r="O905" s="7"/>
    </row>
    <row r="906" spans="12:15" ht="15.75" customHeight="1" x14ac:dyDescent="0.2">
      <c r="L906" s="6"/>
      <c r="M906" s="6"/>
      <c r="N906" s="7"/>
      <c r="O906" s="7"/>
    </row>
    <row r="907" spans="12:15" ht="15.75" customHeight="1" x14ac:dyDescent="0.2">
      <c r="L907" s="6"/>
      <c r="M907" s="6"/>
      <c r="N907" s="7"/>
      <c r="O907" s="7"/>
    </row>
    <row r="908" spans="12:15" ht="15.75" customHeight="1" x14ac:dyDescent="0.2">
      <c r="L908" s="6"/>
      <c r="M908" s="6"/>
      <c r="N908" s="7"/>
      <c r="O908" s="7"/>
    </row>
    <row r="909" spans="12:15" ht="15.75" customHeight="1" x14ac:dyDescent="0.2">
      <c r="L909" s="6"/>
      <c r="M909" s="6"/>
      <c r="N909" s="7"/>
      <c r="O909" s="7"/>
    </row>
    <row r="910" spans="12:15" ht="15.75" customHeight="1" x14ac:dyDescent="0.2">
      <c r="L910" s="6"/>
      <c r="M910" s="6"/>
      <c r="N910" s="7"/>
      <c r="O910" s="7"/>
    </row>
    <row r="911" spans="12:15" ht="15.75" customHeight="1" x14ac:dyDescent="0.2">
      <c r="L911" s="6"/>
      <c r="M911" s="6"/>
      <c r="N911" s="7"/>
      <c r="O911" s="7"/>
    </row>
    <row r="912" spans="12:15" ht="15.75" customHeight="1" x14ac:dyDescent="0.2">
      <c r="L912" s="6"/>
      <c r="M912" s="6"/>
      <c r="N912" s="7"/>
      <c r="O912" s="7"/>
    </row>
    <row r="913" spans="12:15" ht="15.75" customHeight="1" x14ac:dyDescent="0.2">
      <c r="L913" s="6"/>
      <c r="M913" s="6"/>
      <c r="N913" s="7"/>
      <c r="O913" s="7"/>
    </row>
    <row r="914" spans="12:15" ht="15.75" customHeight="1" x14ac:dyDescent="0.2">
      <c r="L914" s="6"/>
      <c r="M914" s="6"/>
      <c r="N914" s="7"/>
      <c r="O914" s="7"/>
    </row>
    <row r="915" spans="12:15" ht="15.75" customHeight="1" x14ac:dyDescent="0.2">
      <c r="L915" s="6"/>
      <c r="M915" s="6"/>
      <c r="N915" s="7"/>
      <c r="O915" s="7"/>
    </row>
    <row r="916" spans="12:15" ht="15.75" customHeight="1" x14ac:dyDescent="0.2">
      <c r="L916" s="6"/>
      <c r="M916" s="6"/>
      <c r="N916" s="7"/>
      <c r="O916" s="7"/>
    </row>
    <row r="917" spans="12:15" ht="15.75" customHeight="1" x14ac:dyDescent="0.2">
      <c r="L917" s="6"/>
      <c r="M917" s="6"/>
      <c r="N917" s="7"/>
      <c r="O917" s="7"/>
    </row>
    <row r="918" spans="12:15" ht="15.75" customHeight="1" x14ac:dyDescent="0.2">
      <c r="L918" s="6"/>
      <c r="M918" s="6"/>
      <c r="N918" s="7"/>
      <c r="O918" s="7"/>
    </row>
    <row r="919" spans="12:15" ht="15.75" customHeight="1" x14ac:dyDescent="0.2">
      <c r="L919" s="6"/>
      <c r="M919" s="6"/>
      <c r="N919" s="7"/>
      <c r="O919" s="7"/>
    </row>
    <row r="920" spans="12:15" ht="15.75" customHeight="1" x14ac:dyDescent="0.2">
      <c r="L920" s="6"/>
      <c r="M920" s="6"/>
      <c r="N920" s="7"/>
      <c r="O920" s="7"/>
    </row>
    <row r="921" spans="12:15" ht="15.75" customHeight="1" x14ac:dyDescent="0.2">
      <c r="L921" s="6"/>
      <c r="M921" s="6"/>
      <c r="N921" s="7"/>
      <c r="O921" s="7"/>
    </row>
    <row r="922" spans="12:15" ht="15.75" customHeight="1" x14ac:dyDescent="0.2">
      <c r="L922" s="6"/>
      <c r="M922" s="6"/>
      <c r="N922" s="7"/>
      <c r="O922" s="7"/>
    </row>
    <row r="923" spans="12:15" ht="15.75" customHeight="1" x14ac:dyDescent="0.2">
      <c r="L923" s="6"/>
      <c r="M923" s="6"/>
      <c r="N923" s="7"/>
      <c r="O923" s="7"/>
    </row>
    <row r="924" spans="12:15" ht="15.75" customHeight="1" x14ac:dyDescent="0.2">
      <c r="L924" s="6"/>
      <c r="M924" s="6"/>
      <c r="N924" s="7"/>
      <c r="O924" s="7"/>
    </row>
    <row r="925" spans="12:15" ht="15.75" customHeight="1" x14ac:dyDescent="0.2">
      <c r="L925" s="6"/>
      <c r="M925" s="6"/>
      <c r="N925" s="7"/>
      <c r="O925" s="7"/>
    </row>
    <row r="926" spans="12:15" ht="15.75" customHeight="1" x14ac:dyDescent="0.2">
      <c r="L926" s="6"/>
      <c r="M926" s="6"/>
      <c r="N926" s="7"/>
      <c r="O926" s="7"/>
    </row>
    <row r="927" spans="12:15" ht="15.75" customHeight="1" x14ac:dyDescent="0.2">
      <c r="L927" s="6"/>
      <c r="M927" s="6"/>
      <c r="N927" s="7"/>
      <c r="O927" s="7"/>
    </row>
    <row r="928" spans="12:15" ht="15.75" customHeight="1" x14ac:dyDescent="0.2">
      <c r="L928" s="6"/>
      <c r="M928" s="6"/>
      <c r="N928" s="7"/>
      <c r="O928" s="7"/>
    </row>
    <row r="929" spans="12:15" ht="15.75" customHeight="1" x14ac:dyDescent="0.2">
      <c r="L929" s="6"/>
      <c r="M929" s="6"/>
      <c r="N929" s="7"/>
      <c r="O929" s="7"/>
    </row>
    <row r="930" spans="12:15" ht="15.75" customHeight="1" x14ac:dyDescent="0.2">
      <c r="L930" s="6"/>
      <c r="M930" s="6"/>
      <c r="N930" s="7"/>
      <c r="O930" s="7"/>
    </row>
    <row r="931" spans="12:15" ht="15.75" customHeight="1" x14ac:dyDescent="0.2">
      <c r="L931" s="6"/>
      <c r="M931" s="6"/>
      <c r="N931" s="7"/>
      <c r="O931" s="7"/>
    </row>
    <row r="932" spans="12:15" ht="15.75" customHeight="1" x14ac:dyDescent="0.2">
      <c r="L932" s="6"/>
      <c r="M932" s="6"/>
      <c r="N932" s="7"/>
      <c r="O932" s="7"/>
    </row>
    <row r="933" spans="12:15" ht="15.75" customHeight="1" x14ac:dyDescent="0.2">
      <c r="L933" s="6"/>
      <c r="M933" s="6"/>
      <c r="N933" s="7"/>
      <c r="O933" s="7"/>
    </row>
    <row r="934" spans="12:15" ht="15.75" customHeight="1" x14ac:dyDescent="0.2">
      <c r="L934" s="6"/>
      <c r="M934" s="6"/>
      <c r="N934" s="7"/>
      <c r="O934" s="7"/>
    </row>
    <row r="935" spans="12:15" ht="15.75" customHeight="1" x14ac:dyDescent="0.2">
      <c r="L935" s="6"/>
      <c r="M935" s="6"/>
      <c r="N935" s="7"/>
      <c r="O935" s="7"/>
    </row>
    <row r="936" spans="12:15" ht="15.75" customHeight="1" x14ac:dyDescent="0.2">
      <c r="L936" s="6"/>
      <c r="M936" s="6"/>
      <c r="N936" s="7"/>
      <c r="O936" s="7"/>
    </row>
    <row r="937" spans="12:15" ht="15.75" customHeight="1" x14ac:dyDescent="0.2">
      <c r="L937" s="6"/>
      <c r="M937" s="6"/>
      <c r="N937" s="7"/>
      <c r="O937" s="7"/>
    </row>
    <row r="938" spans="12:15" ht="15.75" customHeight="1" x14ac:dyDescent="0.2">
      <c r="L938" s="6"/>
      <c r="M938" s="6"/>
      <c r="N938" s="7"/>
      <c r="O938" s="7"/>
    </row>
    <row r="939" spans="12:15" ht="15.75" customHeight="1" x14ac:dyDescent="0.2">
      <c r="L939" s="6"/>
      <c r="M939" s="6"/>
      <c r="N939" s="7"/>
      <c r="O939" s="7"/>
    </row>
    <row r="940" spans="12:15" ht="15.75" customHeight="1" x14ac:dyDescent="0.2">
      <c r="L940" s="6"/>
      <c r="M940" s="6"/>
      <c r="N940" s="7"/>
      <c r="O940" s="7"/>
    </row>
    <row r="941" spans="12:15" ht="15.75" customHeight="1" x14ac:dyDescent="0.2">
      <c r="L941" s="6"/>
      <c r="M941" s="6"/>
      <c r="N941" s="7"/>
      <c r="O941" s="7"/>
    </row>
    <row r="942" spans="12:15" ht="15.75" customHeight="1" x14ac:dyDescent="0.2">
      <c r="L942" s="6"/>
      <c r="M942" s="6"/>
      <c r="N942" s="7"/>
      <c r="O942" s="7"/>
    </row>
    <row r="943" spans="12:15" ht="15.75" customHeight="1" x14ac:dyDescent="0.2">
      <c r="L943" s="6"/>
      <c r="M943" s="6"/>
      <c r="N943" s="7"/>
      <c r="O943" s="7"/>
    </row>
    <row r="944" spans="12:15" ht="15.75" customHeight="1" x14ac:dyDescent="0.2">
      <c r="L944" s="6"/>
      <c r="M944" s="6"/>
      <c r="N944" s="7"/>
      <c r="O944" s="7"/>
    </row>
    <row r="945" spans="12:15" ht="15.75" customHeight="1" x14ac:dyDescent="0.2">
      <c r="L945" s="6"/>
      <c r="M945" s="6"/>
      <c r="N945" s="7"/>
      <c r="O945" s="7"/>
    </row>
    <row r="946" spans="12:15" ht="15.75" customHeight="1" x14ac:dyDescent="0.2">
      <c r="L946" s="6"/>
      <c r="M946" s="6"/>
      <c r="N946" s="7"/>
      <c r="O946" s="7"/>
    </row>
    <row r="947" spans="12:15" ht="15.75" customHeight="1" x14ac:dyDescent="0.2">
      <c r="L947" s="6"/>
      <c r="M947" s="6"/>
      <c r="N947" s="7"/>
      <c r="O947" s="7"/>
    </row>
    <row r="948" spans="12:15" ht="15.75" customHeight="1" x14ac:dyDescent="0.2">
      <c r="L948" s="6"/>
      <c r="M948" s="6"/>
      <c r="N948" s="7"/>
      <c r="O948" s="7"/>
    </row>
    <row r="949" spans="12:15" ht="15.75" customHeight="1" x14ac:dyDescent="0.2">
      <c r="L949" s="6"/>
      <c r="M949" s="6"/>
      <c r="N949" s="7"/>
      <c r="O949" s="7"/>
    </row>
    <row r="950" spans="12:15" ht="15.75" customHeight="1" x14ac:dyDescent="0.2">
      <c r="L950" s="6"/>
      <c r="M950" s="6"/>
      <c r="N950" s="7"/>
      <c r="O950" s="7"/>
    </row>
    <row r="951" spans="12:15" ht="15.75" customHeight="1" x14ac:dyDescent="0.2">
      <c r="L951" s="6"/>
      <c r="M951" s="6"/>
      <c r="N951" s="7"/>
      <c r="O951" s="7"/>
    </row>
    <row r="952" spans="12:15" ht="15.75" customHeight="1" x14ac:dyDescent="0.2">
      <c r="L952" s="6"/>
      <c r="M952" s="6"/>
      <c r="N952" s="7"/>
      <c r="O952" s="7"/>
    </row>
    <row r="953" spans="12:15" ht="15.75" customHeight="1" x14ac:dyDescent="0.2">
      <c r="L953" s="6"/>
      <c r="M953" s="6"/>
      <c r="N953" s="7"/>
      <c r="O953" s="7"/>
    </row>
    <row r="954" spans="12:15" ht="15.75" customHeight="1" x14ac:dyDescent="0.2">
      <c r="L954" s="6"/>
      <c r="M954" s="6"/>
      <c r="N954" s="7"/>
      <c r="O954" s="7"/>
    </row>
    <row r="955" spans="12:15" ht="15.75" customHeight="1" x14ac:dyDescent="0.2">
      <c r="L955" s="6"/>
      <c r="M955" s="6"/>
      <c r="N955" s="7"/>
      <c r="O955" s="7"/>
    </row>
    <row r="956" spans="12:15" ht="15.75" customHeight="1" x14ac:dyDescent="0.2">
      <c r="L956" s="6"/>
      <c r="M956" s="6"/>
      <c r="N956" s="7"/>
      <c r="O956" s="7"/>
    </row>
    <row r="957" spans="12:15" ht="15.75" customHeight="1" x14ac:dyDescent="0.2">
      <c r="L957" s="6"/>
      <c r="M957" s="6"/>
      <c r="N957" s="7"/>
      <c r="O957" s="7"/>
    </row>
    <row r="958" spans="12:15" ht="15.75" customHeight="1" x14ac:dyDescent="0.2">
      <c r="L958" s="6"/>
      <c r="M958" s="6"/>
      <c r="N958" s="7"/>
      <c r="O958" s="7"/>
    </row>
    <row r="959" spans="12:15" ht="15.75" customHeight="1" x14ac:dyDescent="0.2">
      <c r="L959" s="6"/>
      <c r="M959" s="6"/>
      <c r="N959" s="7"/>
      <c r="O959" s="7"/>
    </row>
    <row r="960" spans="12:15" ht="15.75" customHeight="1" x14ac:dyDescent="0.2">
      <c r="L960" s="6"/>
      <c r="M960" s="6"/>
      <c r="N960" s="7"/>
      <c r="O960" s="7"/>
    </row>
    <row r="961" spans="12:15" ht="15.75" customHeight="1" x14ac:dyDescent="0.2">
      <c r="L961" s="6"/>
      <c r="M961" s="6"/>
      <c r="N961" s="7"/>
      <c r="O961" s="7"/>
    </row>
    <row r="962" spans="12:15" ht="15.75" customHeight="1" x14ac:dyDescent="0.2">
      <c r="L962" s="6"/>
      <c r="M962" s="6"/>
      <c r="N962" s="7"/>
      <c r="O962" s="7"/>
    </row>
    <row r="963" spans="12:15" ht="15.75" customHeight="1" x14ac:dyDescent="0.2">
      <c r="L963" s="6"/>
      <c r="M963" s="6"/>
      <c r="N963" s="7"/>
      <c r="O963" s="7"/>
    </row>
    <row r="964" spans="12:15" ht="15.75" customHeight="1" x14ac:dyDescent="0.2">
      <c r="L964" s="6"/>
      <c r="M964" s="6"/>
      <c r="N964" s="7"/>
      <c r="O964" s="7"/>
    </row>
    <row r="965" spans="12:15" ht="15.75" customHeight="1" x14ac:dyDescent="0.2">
      <c r="L965" s="6"/>
      <c r="M965" s="6"/>
      <c r="N965" s="7"/>
      <c r="O965" s="7"/>
    </row>
    <row r="966" spans="12:15" ht="15.75" customHeight="1" x14ac:dyDescent="0.2">
      <c r="L966" s="6"/>
      <c r="M966" s="6"/>
      <c r="N966" s="7"/>
      <c r="O966" s="7"/>
    </row>
    <row r="967" spans="12:15" ht="15.75" customHeight="1" x14ac:dyDescent="0.2">
      <c r="L967" s="6"/>
      <c r="M967" s="6"/>
      <c r="N967" s="7"/>
      <c r="O967" s="7"/>
    </row>
    <row r="968" spans="12:15" ht="15.75" customHeight="1" x14ac:dyDescent="0.2">
      <c r="L968" s="6"/>
      <c r="M968" s="6"/>
      <c r="N968" s="7"/>
      <c r="O968" s="7"/>
    </row>
    <row r="969" spans="12:15" ht="15.75" customHeight="1" x14ac:dyDescent="0.2">
      <c r="L969" s="6"/>
      <c r="M969" s="6"/>
      <c r="N969" s="7"/>
      <c r="O969" s="7"/>
    </row>
    <row r="970" spans="12:15" ht="15.75" customHeight="1" x14ac:dyDescent="0.2">
      <c r="L970" s="6"/>
      <c r="M970" s="6"/>
      <c r="N970" s="7"/>
      <c r="O970" s="7"/>
    </row>
    <row r="971" spans="12:15" ht="15.75" customHeight="1" x14ac:dyDescent="0.2">
      <c r="L971" s="6"/>
      <c r="M971" s="6"/>
      <c r="N971" s="7"/>
      <c r="O971" s="7"/>
    </row>
    <row r="972" spans="12:15" ht="15.75" customHeight="1" x14ac:dyDescent="0.2">
      <c r="L972" s="6"/>
      <c r="M972" s="6"/>
      <c r="N972" s="7"/>
      <c r="O972" s="7"/>
    </row>
    <row r="973" spans="12:15" ht="15.75" customHeight="1" x14ac:dyDescent="0.2">
      <c r="L973" s="6"/>
      <c r="M973" s="6"/>
      <c r="N973" s="7"/>
      <c r="O973" s="7"/>
    </row>
    <row r="974" spans="12:15" ht="15.75" customHeight="1" x14ac:dyDescent="0.2">
      <c r="L974" s="6"/>
      <c r="M974" s="6"/>
      <c r="N974" s="7"/>
      <c r="O974" s="7"/>
    </row>
    <row r="975" spans="12:15" ht="15.75" customHeight="1" x14ac:dyDescent="0.2">
      <c r="L975" s="6"/>
      <c r="M975" s="6"/>
      <c r="N975" s="7"/>
      <c r="O975" s="7"/>
    </row>
    <row r="976" spans="12:15" ht="15.75" customHeight="1" x14ac:dyDescent="0.2">
      <c r="L976" s="6"/>
      <c r="M976" s="6"/>
      <c r="N976" s="7"/>
      <c r="O976" s="7"/>
    </row>
    <row r="977" spans="12:15" ht="15.75" customHeight="1" x14ac:dyDescent="0.2">
      <c r="L977" s="6"/>
      <c r="M977" s="6"/>
      <c r="N977" s="7"/>
      <c r="O977" s="7"/>
    </row>
    <row r="978" spans="12:15" ht="15.75" customHeight="1" x14ac:dyDescent="0.2">
      <c r="L978" s="6"/>
      <c r="M978" s="6"/>
      <c r="N978" s="7"/>
      <c r="O978" s="7"/>
    </row>
    <row r="979" spans="12:15" ht="15.75" customHeight="1" x14ac:dyDescent="0.2">
      <c r="L979" s="6"/>
      <c r="M979" s="6"/>
      <c r="N979" s="7"/>
      <c r="O979" s="7"/>
    </row>
    <row r="980" spans="12:15" ht="15.75" customHeight="1" x14ac:dyDescent="0.2">
      <c r="L980" s="6"/>
      <c r="M980" s="6"/>
      <c r="N980" s="7"/>
      <c r="O980" s="7"/>
    </row>
    <row r="981" spans="12:15" ht="15.75" customHeight="1" x14ac:dyDescent="0.2">
      <c r="L981" s="6"/>
      <c r="M981" s="6"/>
      <c r="N981" s="7"/>
      <c r="O981" s="7"/>
    </row>
    <row r="982" spans="12:15" ht="15.75" customHeight="1" x14ac:dyDescent="0.2">
      <c r="L982" s="6"/>
      <c r="M982" s="6"/>
      <c r="N982" s="7"/>
      <c r="O982" s="7"/>
    </row>
    <row r="983" spans="12:15" ht="15.75" customHeight="1" x14ac:dyDescent="0.2">
      <c r="L983" s="6"/>
      <c r="M983" s="6"/>
      <c r="N983" s="7"/>
      <c r="O983" s="7"/>
    </row>
    <row r="984" spans="12:15" ht="15.75" customHeight="1" x14ac:dyDescent="0.2">
      <c r="L984" s="6"/>
      <c r="M984" s="6"/>
      <c r="N984" s="7"/>
      <c r="O984" s="7"/>
    </row>
    <row r="985" spans="12:15" ht="15.75" customHeight="1" x14ac:dyDescent="0.2">
      <c r="L985" s="6"/>
      <c r="M985" s="6"/>
      <c r="N985" s="7"/>
      <c r="O985" s="7"/>
    </row>
    <row r="986" spans="12:15" ht="15.75" customHeight="1" x14ac:dyDescent="0.2">
      <c r="L986" s="6"/>
      <c r="M986" s="6"/>
      <c r="N986" s="7"/>
      <c r="O986" s="7"/>
    </row>
    <row r="987" spans="12:15" ht="15.75" customHeight="1" x14ac:dyDescent="0.2">
      <c r="L987" s="6"/>
      <c r="M987" s="6"/>
      <c r="N987" s="7"/>
      <c r="O987" s="7"/>
    </row>
    <row r="988" spans="12:15" ht="15.75" customHeight="1" x14ac:dyDescent="0.2">
      <c r="L988" s="6"/>
      <c r="M988" s="6"/>
      <c r="N988" s="7"/>
      <c r="O988" s="7"/>
    </row>
    <row r="989" spans="12:15" ht="15.75" customHeight="1" x14ac:dyDescent="0.2">
      <c r="L989" s="6"/>
      <c r="M989" s="6"/>
      <c r="N989" s="7"/>
      <c r="O989" s="7"/>
    </row>
    <row r="990" spans="12:15" ht="15.75" customHeight="1" x14ac:dyDescent="0.2">
      <c r="L990" s="6"/>
      <c r="M990" s="6"/>
      <c r="N990" s="7"/>
      <c r="O990" s="7"/>
    </row>
    <row r="991" spans="12:15" ht="15.75" customHeight="1" x14ac:dyDescent="0.2">
      <c r="L991" s="6"/>
      <c r="M991" s="6"/>
      <c r="N991" s="7"/>
      <c r="O991" s="7"/>
    </row>
    <row r="992" spans="12:15" ht="15.75" customHeight="1" x14ac:dyDescent="0.2">
      <c r="L992" s="6"/>
      <c r="M992" s="6"/>
      <c r="N992" s="7"/>
      <c r="O992" s="7"/>
    </row>
    <row r="993" spans="12:15" ht="15.75" customHeight="1" x14ac:dyDescent="0.2">
      <c r="L993" s="6"/>
      <c r="M993" s="6"/>
      <c r="N993" s="7"/>
      <c r="O993" s="7"/>
    </row>
    <row r="994" spans="12:15" ht="15.75" customHeight="1" x14ac:dyDescent="0.2">
      <c r="L994" s="6"/>
      <c r="M994" s="6"/>
      <c r="N994" s="7"/>
      <c r="O994" s="7"/>
    </row>
    <row r="995" spans="12:15" ht="15.75" customHeight="1" x14ac:dyDescent="0.2">
      <c r="L995" s="6"/>
      <c r="M995" s="6"/>
      <c r="N995" s="7"/>
      <c r="O995" s="7"/>
    </row>
    <row r="996" spans="12:15" ht="15.75" customHeight="1" x14ac:dyDescent="0.2">
      <c r="L996" s="6"/>
      <c r="M996" s="6"/>
      <c r="N996" s="7"/>
      <c r="O996" s="7"/>
    </row>
    <row r="997" spans="12:15" ht="15.75" customHeight="1" x14ac:dyDescent="0.2">
      <c r="L997" s="6"/>
      <c r="M997" s="6"/>
      <c r="N997" s="7"/>
      <c r="O997" s="7"/>
    </row>
    <row r="998" spans="12:15" ht="15.75" customHeight="1" x14ac:dyDescent="0.2">
      <c r="L998" s="6"/>
      <c r="M998" s="6"/>
      <c r="N998" s="7"/>
      <c r="O998" s="7"/>
    </row>
    <row r="999" spans="12:15" ht="15.75" customHeight="1" x14ac:dyDescent="0.2">
      <c r="L999" s="6"/>
      <c r="M999" s="6"/>
      <c r="N999" s="7"/>
      <c r="O999" s="7"/>
    </row>
    <row r="1000" spans="12:15" ht="15.75" customHeight="1" x14ac:dyDescent="0.2">
      <c r="L1000" s="6"/>
      <c r="M1000" s="6"/>
      <c r="N1000" s="7"/>
      <c r="O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83"/>
  <sheetViews>
    <sheetView showGridLines="0" workbookViewId="0"/>
  </sheetViews>
  <sheetFormatPr baseColWidth="10" defaultColWidth="14.5" defaultRowHeight="15" customHeight="1" x14ac:dyDescent="0.2"/>
  <cols>
    <col min="1" max="1" width="38.5" customWidth="1"/>
    <col min="3" max="3" width="30" customWidth="1"/>
  </cols>
  <sheetData>
    <row r="1" spans="1:7" x14ac:dyDescent="0.2">
      <c r="A1" s="25" t="s">
        <v>106</v>
      </c>
      <c r="B1" s="26"/>
      <c r="C1" s="26"/>
      <c r="D1" s="26"/>
      <c r="E1" s="26"/>
      <c r="F1" s="27"/>
    </row>
    <row r="2" spans="1:7" x14ac:dyDescent="0.2">
      <c r="A2" s="28" t="s">
        <v>49</v>
      </c>
      <c r="B2" s="29" t="s">
        <v>50</v>
      </c>
      <c r="C2" s="29" t="s">
        <v>51</v>
      </c>
      <c r="D2" s="29" t="s">
        <v>52</v>
      </c>
      <c r="E2" s="29" t="s">
        <v>53</v>
      </c>
      <c r="F2" s="30" t="s">
        <v>54</v>
      </c>
    </row>
    <row r="3" spans="1:7" ht="15" customHeight="1" x14ac:dyDescent="0.2">
      <c r="A3" s="31">
        <v>43998.742857142861</v>
      </c>
      <c r="B3" s="32">
        <v>30799.119999999995</v>
      </c>
      <c r="C3" s="32">
        <v>13989.710000000001</v>
      </c>
      <c r="D3" s="32">
        <v>309</v>
      </c>
      <c r="E3" s="32">
        <v>1412.4699999999998</v>
      </c>
      <c r="F3" s="33">
        <v>19</v>
      </c>
    </row>
    <row r="4" spans="1:7" x14ac:dyDescent="0.2">
      <c r="A4" s="5" t="s">
        <v>55</v>
      </c>
      <c r="E4" s="5" t="s">
        <v>56</v>
      </c>
    </row>
    <row r="5" spans="1:7" x14ac:dyDescent="0.2">
      <c r="A5" s="5" t="s">
        <v>57</v>
      </c>
      <c r="B5" s="5" t="s">
        <v>58</v>
      </c>
      <c r="C5" s="5" t="s">
        <v>59</v>
      </c>
      <c r="E5" s="5" t="s">
        <v>57</v>
      </c>
      <c r="F5" s="5" t="s">
        <v>58</v>
      </c>
      <c r="G5" s="5" t="s">
        <v>59</v>
      </c>
    </row>
    <row r="6" spans="1:7" x14ac:dyDescent="0.2">
      <c r="A6" s="5" t="s">
        <v>60</v>
      </c>
      <c r="B6" s="5">
        <v>53</v>
      </c>
      <c r="C6" s="5">
        <v>2565.35</v>
      </c>
      <c r="E6" s="5" t="s">
        <v>60</v>
      </c>
      <c r="F6" s="5">
        <v>66</v>
      </c>
      <c r="G6" s="5">
        <v>3081.18</v>
      </c>
    </row>
    <row r="7" spans="1:7" x14ac:dyDescent="0.2">
      <c r="A7" s="5" t="s">
        <v>61</v>
      </c>
      <c r="B7" s="5">
        <v>91</v>
      </c>
      <c r="C7" s="5">
        <v>3962.6099999999997</v>
      </c>
      <c r="E7" s="5" t="s">
        <v>61</v>
      </c>
      <c r="F7" s="5">
        <v>99</v>
      </c>
      <c r="G7" s="5">
        <v>4380.57</v>
      </c>
    </row>
    <row r="8" spans="1:7" x14ac:dyDescent="0.2">
      <c r="A8" s="5" t="s">
        <v>62</v>
      </c>
      <c r="B8" s="5">
        <v>144</v>
      </c>
      <c r="C8" s="5">
        <v>6527.96</v>
      </c>
      <c r="E8" s="5" t="s">
        <v>62</v>
      </c>
      <c r="F8" s="5">
        <v>165</v>
      </c>
      <c r="G8" s="5">
        <v>7461.75</v>
      </c>
    </row>
    <row r="10" spans="1:7" x14ac:dyDescent="0.2">
      <c r="A10" s="9" t="s">
        <v>63</v>
      </c>
    </row>
    <row r="11" spans="1:7" x14ac:dyDescent="0.2">
      <c r="A11" s="10" t="str">
        <f t="shared" ref="A11:C11" si="0">A5</f>
        <v>Type</v>
      </c>
      <c r="B11" s="10" t="str">
        <f t="shared" si="0"/>
        <v>SUM of Units</v>
      </c>
      <c r="C11" s="10" t="str">
        <f t="shared" si="0"/>
        <v>SUM of Sales</v>
      </c>
      <c r="D11" s="10" t="s">
        <v>64</v>
      </c>
      <c r="E11" s="10" t="s">
        <v>65</v>
      </c>
      <c r="F11" s="10" t="s">
        <v>66</v>
      </c>
    </row>
    <row r="12" spans="1:7" x14ac:dyDescent="0.2">
      <c r="A12" s="10" t="str">
        <f t="shared" ref="A12:A14" si="1">A6</f>
        <v>offline</v>
      </c>
      <c r="B12" s="10">
        <f t="shared" ref="B12:C12" si="2">B6+F6</f>
        <v>119</v>
      </c>
      <c r="C12" s="11">
        <f t="shared" si="2"/>
        <v>5646.53</v>
      </c>
      <c r="D12" s="12">
        <f t="shared" ref="D12:D13" si="3">C12/$C$14</f>
        <v>0.40362023229931143</v>
      </c>
      <c r="E12" s="10"/>
      <c r="F12" s="10"/>
    </row>
    <row r="13" spans="1:7" x14ac:dyDescent="0.2">
      <c r="A13" s="10" t="str">
        <f t="shared" si="1"/>
        <v>online</v>
      </c>
      <c r="B13" s="10">
        <f t="shared" ref="B13:C13" si="4">B7+F7</f>
        <v>190</v>
      </c>
      <c r="C13" s="11">
        <f t="shared" si="4"/>
        <v>8343.18</v>
      </c>
      <c r="D13" s="12">
        <f t="shared" si="3"/>
        <v>0.59637976770068868</v>
      </c>
      <c r="E13" s="10"/>
      <c r="F13" s="10"/>
    </row>
    <row r="14" spans="1:7" x14ac:dyDescent="0.2">
      <c r="A14" s="10" t="str">
        <f t="shared" si="1"/>
        <v>Grand Total</v>
      </c>
      <c r="B14" s="10">
        <f t="shared" ref="B14:C14" si="5">B8+F8</f>
        <v>309</v>
      </c>
      <c r="C14" s="11">
        <f t="shared" si="5"/>
        <v>13989.71</v>
      </c>
      <c r="D14" s="12"/>
      <c r="E14" s="11" t="e">
        <f>C14/B2</f>
        <v>#VALUE!</v>
      </c>
      <c r="F14" s="11" t="e">
        <f>C14/A2</f>
        <v>#VALUE!</v>
      </c>
    </row>
    <row r="15" spans="1:7" x14ac:dyDescent="0.2">
      <c r="D15" s="10"/>
    </row>
    <row r="17" spans="1:8" x14ac:dyDescent="0.2">
      <c r="A17" s="5" t="s">
        <v>55</v>
      </c>
      <c r="E17" s="5" t="s">
        <v>56</v>
      </c>
    </row>
    <row r="18" spans="1:8" x14ac:dyDescent="0.2">
      <c r="A18" s="5" t="s">
        <v>57</v>
      </c>
      <c r="B18" s="5" t="s">
        <v>58</v>
      </c>
      <c r="C18" s="5" t="s">
        <v>59</v>
      </c>
      <c r="E18" s="5" t="s">
        <v>57</v>
      </c>
      <c r="F18" s="5" t="s">
        <v>58</v>
      </c>
      <c r="G18" s="5" t="s">
        <v>59</v>
      </c>
    </row>
    <row r="19" spans="1:8" x14ac:dyDescent="0.2">
      <c r="A19" s="5" t="s">
        <v>60</v>
      </c>
      <c r="B19" s="5">
        <v>3</v>
      </c>
      <c r="C19" s="5">
        <v>205.5</v>
      </c>
      <c r="E19" s="5" t="s">
        <v>60</v>
      </c>
      <c r="F19" s="5">
        <v>2</v>
      </c>
      <c r="G19" s="5">
        <v>129.75</v>
      </c>
    </row>
    <row r="20" spans="1:8" x14ac:dyDescent="0.2">
      <c r="A20" s="5" t="s">
        <v>61</v>
      </c>
      <c r="B20" s="5">
        <v>10</v>
      </c>
      <c r="C20" s="5">
        <v>847.37</v>
      </c>
      <c r="E20" s="5" t="s">
        <v>61</v>
      </c>
      <c r="F20" s="5">
        <v>4</v>
      </c>
      <c r="G20" s="5">
        <v>229.85</v>
      </c>
    </row>
    <row r="21" spans="1:8" x14ac:dyDescent="0.2">
      <c r="A21" s="5" t="s">
        <v>62</v>
      </c>
      <c r="B21" s="5">
        <v>13</v>
      </c>
      <c r="C21" s="5">
        <v>1052.8700000000001</v>
      </c>
      <c r="E21" s="5" t="s">
        <v>62</v>
      </c>
      <c r="F21" s="5">
        <v>6</v>
      </c>
      <c r="G21" s="5">
        <v>359.6</v>
      </c>
    </row>
    <row r="23" spans="1:8" x14ac:dyDescent="0.2">
      <c r="A23" s="9" t="s">
        <v>67</v>
      </c>
    </row>
    <row r="24" spans="1:8" x14ac:dyDescent="0.2">
      <c r="A24" s="10" t="str">
        <f t="shared" ref="A24:C24" si="6">A18</f>
        <v>Type</v>
      </c>
      <c r="B24" s="10" t="str">
        <f t="shared" si="6"/>
        <v>SUM of Units</v>
      </c>
      <c r="C24" s="10" t="str">
        <f t="shared" si="6"/>
        <v>SUM of Sales</v>
      </c>
      <c r="D24" s="10" t="s">
        <v>64</v>
      </c>
      <c r="E24" s="10" t="s">
        <v>65</v>
      </c>
      <c r="F24" s="10" t="s">
        <v>66</v>
      </c>
    </row>
    <row r="25" spans="1:8" x14ac:dyDescent="0.2">
      <c r="A25" s="10" t="str">
        <f t="shared" ref="A25:A27" si="7">A19</f>
        <v>offline</v>
      </c>
      <c r="B25" s="10">
        <f t="shared" ref="B25:C25" si="8">B19+F19</f>
        <v>5</v>
      </c>
      <c r="C25" s="11">
        <f t="shared" si="8"/>
        <v>335.25</v>
      </c>
      <c r="D25" s="12">
        <f t="shared" ref="D25:D26" si="9">C25/$C$27</f>
        <v>0.2373501738090012</v>
      </c>
      <c r="E25" s="10"/>
      <c r="F25" s="10"/>
    </row>
    <row r="26" spans="1:8" x14ac:dyDescent="0.2">
      <c r="A26" s="10" t="str">
        <f t="shared" si="7"/>
        <v>online</v>
      </c>
      <c r="B26" s="10">
        <f t="shared" ref="B26:C26" si="10">B20+F20</f>
        <v>14</v>
      </c>
      <c r="C26" s="11">
        <f t="shared" si="10"/>
        <v>1077.22</v>
      </c>
      <c r="D26" s="12">
        <f t="shared" si="9"/>
        <v>0.76264982619099864</v>
      </c>
      <c r="E26" s="10"/>
      <c r="F26" s="10"/>
    </row>
    <row r="27" spans="1:8" x14ac:dyDescent="0.2">
      <c r="A27" s="10" t="str">
        <f t="shared" si="7"/>
        <v>Grand Total</v>
      </c>
      <c r="B27" s="10">
        <f t="shared" ref="B27:C27" si="11">B21+F21</f>
        <v>19</v>
      </c>
      <c r="C27" s="11">
        <f t="shared" si="11"/>
        <v>1412.4700000000003</v>
      </c>
      <c r="D27" s="12"/>
      <c r="E27" s="11" t="e">
        <f>C27/B2</f>
        <v>#VALUE!</v>
      </c>
      <c r="F27" s="11" t="e">
        <f>C27/A2</f>
        <v>#VALUE!</v>
      </c>
    </row>
    <row r="30" spans="1:8" x14ac:dyDescent="0.2">
      <c r="A30" s="28"/>
      <c r="B30" s="25" t="s">
        <v>106</v>
      </c>
      <c r="C30" s="26"/>
      <c r="D30" s="26"/>
      <c r="E30" s="26"/>
      <c r="F30" s="26"/>
      <c r="G30" s="27"/>
      <c r="H30" s="5" t="s">
        <v>70</v>
      </c>
    </row>
    <row r="31" spans="1:8" x14ac:dyDescent="0.2">
      <c r="A31" s="25" t="s">
        <v>8</v>
      </c>
      <c r="B31" s="28" t="s">
        <v>50</v>
      </c>
      <c r="C31" s="29" t="s">
        <v>68</v>
      </c>
      <c r="D31" s="29" t="s">
        <v>69</v>
      </c>
      <c r="E31" s="29" t="s">
        <v>51</v>
      </c>
      <c r="F31" s="29" t="s">
        <v>52</v>
      </c>
      <c r="G31" s="30" t="s">
        <v>49</v>
      </c>
      <c r="H31" s="13">
        <v>206672</v>
      </c>
    </row>
    <row r="32" spans="1:8" x14ac:dyDescent="0.2">
      <c r="A32" s="28" t="s">
        <v>34</v>
      </c>
      <c r="B32" s="34">
        <v>9999.8961110984837</v>
      </c>
      <c r="C32" s="35">
        <v>1936209</v>
      </c>
      <c r="D32" s="35">
        <v>4498</v>
      </c>
      <c r="E32" s="35">
        <v>1610.04</v>
      </c>
      <c r="F32" s="35">
        <v>39</v>
      </c>
      <c r="G32" s="36">
        <v>14285.565872997835</v>
      </c>
      <c r="H32" s="13">
        <v>9053</v>
      </c>
    </row>
    <row r="33" spans="1:8" x14ac:dyDescent="0.2">
      <c r="A33" s="37" t="s">
        <v>36</v>
      </c>
      <c r="B33" s="38">
        <v>3882.3537859399503</v>
      </c>
      <c r="C33" s="39">
        <v>307454</v>
      </c>
      <c r="D33" s="39">
        <v>1279</v>
      </c>
      <c r="E33" s="39">
        <v>7195.34</v>
      </c>
      <c r="F33" s="39">
        <v>157</v>
      </c>
      <c r="G33" s="40">
        <v>5546.2196941999291</v>
      </c>
      <c r="H33" s="13">
        <v>137793</v>
      </c>
    </row>
    <row r="34" spans="1:8" x14ac:dyDescent="0.2">
      <c r="A34" s="37" t="s">
        <v>37</v>
      </c>
      <c r="B34" s="38">
        <v>6999.5772639043571</v>
      </c>
      <c r="C34" s="39">
        <v>1333267</v>
      </c>
      <c r="D34" s="39">
        <v>3131</v>
      </c>
      <c r="E34" s="39">
        <v>1055.1400000000001</v>
      </c>
      <c r="F34" s="39">
        <v>23</v>
      </c>
      <c r="G34" s="40">
        <v>9999.3960912919392</v>
      </c>
      <c r="H34" s="13">
        <v>721734</v>
      </c>
    </row>
    <row r="35" spans="1:8" x14ac:dyDescent="0.2">
      <c r="A35" s="37" t="s">
        <v>38</v>
      </c>
      <c r="B35" s="38">
        <v>2096.5830488442393</v>
      </c>
      <c r="C35" s="39">
        <v>1120312</v>
      </c>
      <c r="D35" s="39">
        <v>1131</v>
      </c>
      <c r="E35" s="39">
        <v>324.39999999999998</v>
      </c>
      <c r="F35" s="39">
        <v>7</v>
      </c>
      <c r="G35" s="40">
        <v>2995.1186412060565</v>
      </c>
      <c r="H35" s="13">
        <v>70242</v>
      </c>
    </row>
    <row r="36" spans="1:8" x14ac:dyDescent="0.2">
      <c r="A36" s="37" t="s">
        <v>39</v>
      </c>
      <c r="B36" s="38">
        <v>1188.6470841193718</v>
      </c>
      <c r="C36" s="39">
        <v>214136</v>
      </c>
      <c r="D36" s="39">
        <v>555</v>
      </c>
      <c r="E36" s="39">
        <v>145.99</v>
      </c>
      <c r="F36" s="39">
        <v>4</v>
      </c>
      <c r="G36" s="40">
        <v>1698.067263027674</v>
      </c>
      <c r="H36" s="13">
        <v>82956</v>
      </c>
    </row>
    <row r="37" spans="1:8" x14ac:dyDescent="0.2">
      <c r="A37" s="37" t="s">
        <v>40</v>
      </c>
      <c r="B37" s="38">
        <v>1857.8735931995363</v>
      </c>
      <c r="C37" s="39">
        <v>347901</v>
      </c>
      <c r="D37" s="39">
        <v>706</v>
      </c>
      <c r="E37" s="39">
        <v>95.2</v>
      </c>
      <c r="F37" s="39">
        <v>2</v>
      </c>
      <c r="G37" s="40">
        <v>2654.105133142195</v>
      </c>
      <c r="H37" s="13">
        <v>47896</v>
      </c>
    </row>
    <row r="38" spans="1:8" x14ac:dyDescent="0.2">
      <c r="A38" s="37" t="s">
        <v>41</v>
      </c>
      <c r="B38" s="38">
        <v>1152.9456699320408</v>
      </c>
      <c r="C38" s="39">
        <v>194477</v>
      </c>
      <c r="D38" s="39">
        <v>442</v>
      </c>
      <c r="E38" s="39">
        <v>0</v>
      </c>
      <c r="F38" s="39">
        <v>0</v>
      </c>
      <c r="G38" s="40">
        <v>1647.0652427600583</v>
      </c>
      <c r="H38" s="13">
        <v>6641</v>
      </c>
    </row>
    <row r="39" spans="1:8" x14ac:dyDescent="0.2">
      <c r="A39" s="37" t="s">
        <v>42</v>
      </c>
      <c r="B39" s="38">
        <v>2821.1117485283085</v>
      </c>
      <c r="C39" s="39">
        <v>238952</v>
      </c>
      <c r="D39" s="39">
        <v>970</v>
      </c>
      <c r="E39" s="39">
        <v>3523.6</v>
      </c>
      <c r="F39" s="39">
        <v>76</v>
      </c>
      <c r="G39" s="40">
        <v>4030.1596407547268</v>
      </c>
      <c r="H39" s="13">
        <v>9921</v>
      </c>
    </row>
    <row r="40" spans="1:8" x14ac:dyDescent="0.2">
      <c r="A40" s="37" t="s">
        <v>43</v>
      </c>
      <c r="B40" s="38">
        <v>272.31078664454395</v>
      </c>
      <c r="C40" s="39">
        <v>36260</v>
      </c>
      <c r="D40" s="39">
        <v>94</v>
      </c>
      <c r="E40" s="39">
        <v>40</v>
      </c>
      <c r="F40" s="39">
        <v>1</v>
      </c>
      <c r="G40" s="40">
        <v>389.01540949220572</v>
      </c>
      <c r="H40" s="13">
        <v>3108</v>
      </c>
    </row>
    <row r="41" spans="1:8" x14ac:dyDescent="0.2">
      <c r="A41" s="37" t="s">
        <v>44</v>
      </c>
      <c r="B41" s="38">
        <v>93.803715707889182</v>
      </c>
      <c r="C41" s="39">
        <v>13064</v>
      </c>
      <c r="D41" s="39">
        <v>47</v>
      </c>
      <c r="E41" s="39">
        <v>0</v>
      </c>
      <c r="F41" s="39">
        <v>0</v>
      </c>
      <c r="G41" s="40">
        <v>134.00530815412742</v>
      </c>
      <c r="H41" s="13">
        <v>10866</v>
      </c>
    </row>
    <row r="42" spans="1:8" x14ac:dyDescent="0.2">
      <c r="A42" s="37" t="s">
        <v>45</v>
      </c>
      <c r="B42" s="38">
        <v>316.41253358183513</v>
      </c>
      <c r="C42" s="39">
        <v>44868</v>
      </c>
      <c r="D42" s="39">
        <v>111</v>
      </c>
      <c r="E42" s="39">
        <v>0</v>
      </c>
      <c r="F42" s="39">
        <v>0</v>
      </c>
      <c r="G42" s="40">
        <v>452.01790511690734</v>
      </c>
      <c r="H42" s="13">
        <v>3901</v>
      </c>
    </row>
    <row r="43" spans="1:8" x14ac:dyDescent="0.2">
      <c r="A43" s="37" t="s">
        <v>46</v>
      </c>
      <c r="B43" s="38">
        <v>117.60465849944313</v>
      </c>
      <c r="C43" s="39">
        <v>15472</v>
      </c>
      <c r="D43" s="39">
        <v>43</v>
      </c>
      <c r="E43" s="39">
        <v>0</v>
      </c>
      <c r="F43" s="39">
        <v>0</v>
      </c>
      <c r="G43" s="40">
        <v>168.00665499920447</v>
      </c>
    </row>
    <row r="44" spans="1:8" ht="15" customHeight="1" x14ac:dyDescent="0.2">
      <c r="A44" s="41" t="s">
        <v>62</v>
      </c>
      <c r="B44" s="31">
        <v>30799.119999999999</v>
      </c>
      <c r="C44" s="32">
        <v>5802372</v>
      </c>
      <c r="D44" s="32">
        <v>13007</v>
      </c>
      <c r="E44" s="32">
        <v>13989.710000000001</v>
      </c>
      <c r="F44" s="32">
        <v>309</v>
      </c>
      <c r="G44" s="33">
        <v>43998.742857142854</v>
      </c>
    </row>
    <row r="50" spans="1:13" x14ac:dyDescent="0.2">
      <c r="A50" s="14" t="s">
        <v>71</v>
      </c>
      <c r="B50" s="15" t="s">
        <v>72</v>
      </c>
      <c r="C50" s="15" t="s">
        <v>14</v>
      </c>
      <c r="D50" s="15" t="s">
        <v>16</v>
      </c>
      <c r="E50" s="15" t="s">
        <v>73</v>
      </c>
      <c r="F50" s="15" t="s">
        <v>15</v>
      </c>
      <c r="G50" s="15" t="s">
        <v>18</v>
      </c>
      <c r="H50" s="15" t="s">
        <v>74</v>
      </c>
      <c r="I50" s="15" t="s">
        <v>75</v>
      </c>
      <c r="J50" s="16" t="s">
        <v>76</v>
      </c>
      <c r="K50" s="16" t="s">
        <v>77</v>
      </c>
      <c r="L50" s="5" t="s">
        <v>78</v>
      </c>
      <c r="M50" s="5" t="s">
        <v>79</v>
      </c>
    </row>
    <row r="51" spans="1:13" x14ac:dyDescent="0.2">
      <c r="A51" s="5" t="str">
        <f t="shared" ref="A51:C51" si="12">A31</f>
        <v>Ad_Set_Name</v>
      </c>
      <c r="B51" s="8" t="str">
        <f t="shared" si="12"/>
        <v>SUM of Net_Spend - 30799.12</v>
      </c>
      <c r="C51" s="5" t="str">
        <f t="shared" si="12"/>
        <v>SUM of Impressions</v>
      </c>
      <c r="D51" s="13">
        <f t="shared" ref="D51:D63" si="13">H31</f>
        <v>206672</v>
      </c>
      <c r="E51" s="17" t="e">
        <f t="shared" ref="E51:E63" si="14">C51/D51</f>
        <v>#VALUE!</v>
      </c>
      <c r="F51" s="5" t="str">
        <f t="shared" ref="F51:F63" si="15">D31</f>
        <v>SUM of Clicks</v>
      </c>
      <c r="G51" s="18" t="e">
        <f t="shared" ref="G51:G63" si="16">F51/C51</f>
        <v>#VALUE!</v>
      </c>
      <c r="H51" s="8" t="e">
        <f t="shared" ref="H51:H63" si="17">B51/C51*1000</f>
        <v>#VALUE!</v>
      </c>
      <c r="I51" s="5" t="str">
        <f t="shared" ref="I51:I63" si="18">E31</f>
        <v>SUM of Brand_Revenue</v>
      </c>
      <c r="J51" s="8" t="e">
        <f t="shared" ref="J51:J63" si="19">I51/B51</f>
        <v>#VALUE!</v>
      </c>
      <c r="K51" s="8" t="e">
        <f t="shared" ref="K51:K56" si="20">M51/L51</f>
        <v>#VALUE!</v>
      </c>
      <c r="L51" s="5" t="str">
        <f t="shared" ref="L51:M51" si="21">F31</f>
        <v>SUM of Brand_Units</v>
      </c>
      <c r="M51" s="8" t="str">
        <f t="shared" si="21"/>
        <v>SUM of Gross_Spend - 43,998.74</v>
      </c>
    </row>
    <row r="52" spans="1:13" x14ac:dyDescent="0.2">
      <c r="A52" s="5" t="str">
        <f t="shared" ref="A52:C52" si="22">A32</f>
        <v>Current Female Fragrance Shoppers</v>
      </c>
      <c r="B52" s="8">
        <f t="shared" si="22"/>
        <v>9999.8961110984837</v>
      </c>
      <c r="C52" s="5">
        <f t="shared" si="22"/>
        <v>1936209</v>
      </c>
      <c r="D52" s="13">
        <f t="shared" si="13"/>
        <v>9053</v>
      </c>
      <c r="E52" s="17">
        <f t="shared" si="14"/>
        <v>213.8748481166464</v>
      </c>
      <c r="F52" s="5">
        <f t="shared" si="15"/>
        <v>4498</v>
      </c>
      <c r="G52" s="18">
        <f t="shared" si="16"/>
        <v>2.3230963186308914E-3</v>
      </c>
      <c r="H52" s="8">
        <f t="shared" si="17"/>
        <v>5.1646780441049929</v>
      </c>
      <c r="I52" s="5">
        <f t="shared" si="18"/>
        <v>1610.04</v>
      </c>
      <c r="J52" s="8">
        <f t="shared" si="19"/>
        <v>0.16100567267024715</v>
      </c>
      <c r="K52" s="8">
        <f t="shared" si="20"/>
        <v>366.29656084609832</v>
      </c>
      <c r="L52" s="5">
        <f t="shared" ref="L52:M52" si="23">F32</f>
        <v>39</v>
      </c>
      <c r="M52" s="8">
        <f t="shared" si="23"/>
        <v>14285.565872997835</v>
      </c>
    </row>
    <row r="53" spans="1:13" x14ac:dyDescent="0.2">
      <c r="A53" s="5" t="str">
        <f t="shared" ref="A53:C53" si="24">A33</f>
        <v>Current Issey Miyake Shoppers</v>
      </c>
      <c r="B53" s="8">
        <f t="shared" si="24"/>
        <v>3882.3537859399503</v>
      </c>
      <c r="C53" s="5">
        <f t="shared" si="24"/>
        <v>307454</v>
      </c>
      <c r="D53" s="13">
        <f t="shared" si="13"/>
        <v>137793</v>
      </c>
      <c r="E53" s="17">
        <f t="shared" si="14"/>
        <v>2.2312744479037399</v>
      </c>
      <c r="F53" s="5">
        <f t="shared" si="15"/>
        <v>1279</v>
      </c>
      <c r="G53" s="18">
        <f t="shared" si="16"/>
        <v>4.1599718982351834E-3</v>
      </c>
      <c r="H53" s="8">
        <f t="shared" si="17"/>
        <v>12.627429748645165</v>
      </c>
      <c r="I53" s="5">
        <f t="shared" si="18"/>
        <v>7195.34</v>
      </c>
      <c r="J53" s="8">
        <f t="shared" si="19"/>
        <v>1.8533447482447682</v>
      </c>
      <c r="K53" s="8">
        <f t="shared" si="20"/>
        <v>35.32624009044541</v>
      </c>
      <c r="L53" s="5">
        <f t="shared" ref="L53:M53" si="25">F33</f>
        <v>157</v>
      </c>
      <c r="M53" s="8">
        <f t="shared" si="25"/>
        <v>5546.2196941999291</v>
      </c>
    </row>
    <row r="54" spans="1:13" x14ac:dyDescent="0.2">
      <c r="A54" s="5" t="str">
        <f t="shared" ref="A54:C54" si="26">A34</f>
        <v>Current Male Fragrance Shoppers</v>
      </c>
      <c r="B54" s="8">
        <f t="shared" si="26"/>
        <v>6999.5772639043571</v>
      </c>
      <c r="C54" s="5">
        <f t="shared" si="26"/>
        <v>1333267</v>
      </c>
      <c r="D54" s="13">
        <f t="shared" si="13"/>
        <v>721734</v>
      </c>
      <c r="E54" s="17">
        <f t="shared" si="14"/>
        <v>1.847310782088692</v>
      </c>
      <c r="F54" s="5">
        <f t="shared" si="15"/>
        <v>3131</v>
      </c>
      <c r="G54" s="18">
        <f t="shared" si="16"/>
        <v>2.3483668312498547E-3</v>
      </c>
      <c r="H54" s="8">
        <f t="shared" si="17"/>
        <v>5.2499441326488672</v>
      </c>
      <c r="I54" s="5">
        <f t="shared" si="18"/>
        <v>1055.1400000000001</v>
      </c>
      <c r="J54" s="8">
        <f t="shared" si="19"/>
        <v>0.15074338923883013</v>
      </c>
      <c r="K54" s="8">
        <f t="shared" si="20"/>
        <v>434.75635179530173</v>
      </c>
      <c r="L54" s="5">
        <f t="shared" ref="L54:M54" si="27">F34</f>
        <v>23</v>
      </c>
      <c r="M54" s="8">
        <f t="shared" si="27"/>
        <v>9999.3960912919392</v>
      </c>
    </row>
    <row r="55" spans="1:13" x14ac:dyDescent="0.2">
      <c r="A55" s="5" t="str">
        <f t="shared" ref="A55:C55" si="28">A35</f>
        <v>Female Competitor Shoppers</v>
      </c>
      <c r="B55" s="8">
        <f t="shared" si="28"/>
        <v>2096.5830488442393</v>
      </c>
      <c r="C55" s="5">
        <f t="shared" si="28"/>
        <v>1120312</v>
      </c>
      <c r="D55" s="13">
        <f t="shared" si="13"/>
        <v>70242</v>
      </c>
      <c r="E55" s="17">
        <f t="shared" si="14"/>
        <v>15.949318071808889</v>
      </c>
      <c r="F55" s="5">
        <f t="shared" si="15"/>
        <v>1131</v>
      </c>
      <c r="G55" s="18">
        <f t="shared" si="16"/>
        <v>1.0095401995158491E-3</v>
      </c>
      <c r="H55" s="8">
        <f t="shared" si="17"/>
        <v>1.871427824431265</v>
      </c>
      <c r="I55" s="5">
        <f t="shared" si="18"/>
        <v>324.39999999999998</v>
      </c>
      <c r="J55" s="8">
        <f t="shared" si="19"/>
        <v>0.15472795135820089</v>
      </c>
      <c r="K55" s="8">
        <f t="shared" si="20"/>
        <v>427.8740916008652</v>
      </c>
      <c r="L55" s="5">
        <f t="shared" ref="L55:M55" si="29">F35</f>
        <v>7</v>
      </c>
      <c r="M55" s="8">
        <f t="shared" si="29"/>
        <v>2995.1186412060565</v>
      </c>
    </row>
    <row r="56" spans="1:13" x14ac:dyDescent="0.2">
      <c r="A56" s="5" t="str">
        <f t="shared" ref="A56:C56" si="30">A36</f>
        <v>Female fine fragrance propensity model</v>
      </c>
      <c r="B56" s="8">
        <f t="shared" si="30"/>
        <v>1188.6470841193718</v>
      </c>
      <c r="C56" s="5">
        <f t="shared" si="30"/>
        <v>214136</v>
      </c>
      <c r="D56" s="13">
        <f t="shared" si="13"/>
        <v>82956</v>
      </c>
      <c r="E56" s="17">
        <f t="shared" si="14"/>
        <v>2.5813202179468635</v>
      </c>
      <c r="F56" s="5">
        <f t="shared" si="15"/>
        <v>555</v>
      </c>
      <c r="G56" s="18">
        <f t="shared" si="16"/>
        <v>2.5918108118205252E-3</v>
      </c>
      <c r="H56" s="8">
        <f t="shared" si="17"/>
        <v>5.5508979532604137</v>
      </c>
      <c r="I56" s="5">
        <f t="shared" si="18"/>
        <v>145.99</v>
      </c>
      <c r="J56" s="8">
        <f t="shared" si="19"/>
        <v>0.12282030717987168</v>
      </c>
      <c r="K56" s="8">
        <f t="shared" si="20"/>
        <v>424.5168157569185</v>
      </c>
      <c r="L56" s="5">
        <f t="shared" ref="L56:M56" si="31">F36</f>
        <v>4</v>
      </c>
      <c r="M56" s="8">
        <f t="shared" si="31"/>
        <v>1698.067263027674</v>
      </c>
    </row>
    <row r="57" spans="1:13" x14ac:dyDescent="0.2">
      <c r="A57" s="5" t="str">
        <f t="shared" ref="A57:C57" si="32">A37</f>
        <v>Female premium cosmetics propensity model</v>
      </c>
      <c r="B57" s="8">
        <f t="shared" si="32"/>
        <v>1857.8735931995363</v>
      </c>
      <c r="C57" s="5">
        <f t="shared" si="32"/>
        <v>347901</v>
      </c>
      <c r="D57" s="13">
        <f t="shared" si="13"/>
        <v>47896</v>
      </c>
      <c r="E57" s="17">
        <f t="shared" si="14"/>
        <v>7.2636754635042591</v>
      </c>
      <c r="F57" s="5">
        <f t="shared" si="15"/>
        <v>706</v>
      </c>
      <c r="G57" s="18">
        <f t="shared" si="16"/>
        <v>2.0293129367262527E-3</v>
      </c>
      <c r="H57" s="8">
        <f t="shared" si="17"/>
        <v>5.3402364270281959</v>
      </c>
      <c r="I57" s="5">
        <f t="shared" si="18"/>
        <v>95.2</v>
      </c>
      <c r="J57" s="8">
        <f t="shared" si="19"/>
        <v>5.1241376350073073E-2</v>
      </c>
      <c r="K57" s="5" t="s">
        <v>80</v>
      </c>
      <c r="L57" s="5">
        <f t="shared" ref="L57:M57" si="33">F37</f>
        <v>2</v>
      </c>
      <c r="M57" s="8">
        <f t="shared" si="33"/>
        <v>2654.105133142195</v>
      </c>
    </row>
    <row r="58" spans="1:13" x14ac:dyDescent="0.2">
      <c r="A58" s="5" t="str">
        <f t="shared" ref="A58:C58" si="34">A38</f>
        <v>Female premium gift shoppers</v>
      </c>
      <c r="B58" s="8">
        <f t="shared" si="34"/>
        <v>1152.9456699320408</v>
      </c>
      <c r="C58" s="5">
        <f t="shared" si="34"/>
        <v>194477</v>
      </c>
      <c r="D58" s="13">
        <f t="shared" si="13"/>
        <v>6641</v>
      </c>
      <c r="E58" s="17">
        <f t="shared" si="14"/>
        <v>29.28429453395573</v>
      </c>
      <c r="F58" s="5">
        <f t="shared" si="15"/>
        <v>442</v>
      </c>
      <c r="G58" s="18">
        <f t="shared" si="16"/>
        <v>2.2727623317924483E-3</v>
      </c>
      <c r="H58" s="8">
        <f t="shared" si="17"/>
        <v>5.9284422833139185</v>
      </c>
      <c r="I58" s="5">
        <f t="shared" si="18"/>
        <v>0</v>
      </c>
      <c r="J58" s="8">
        <f t="shared" si="19"/>
        <v>0</v>
      </c>
      <c r="K58" s="8" t="e">
        <f t="shared" ref="K58:K59" si="35">M58/L58</f>
        <v>#DIV/0!</v>
      </c>
      <c r="L58" s="5">
        <f t="shared" ref="L58:M58" si="36">F38</f>
        <v>0</v>
      </c>
      <c r="M58" s="8">
        <f t="shared" si="36"/>
        <v>1647.0652427600583</v>
      </c>
    </row>
    <row r="59" spans="1:13" x14ac:dyDescent="0.2">
      <c r="A59" s="5" t="str">
        <f t="shared" ref="A59:C59" si="37">A39</f>
        <v>Lapsed Issey Miyake Shoppers</v>
      </c>
      <c r="B59" s="8">
        <f t="shared" si="37"/>
        <v>2821.1117485283085</v>
      </c>
      <c r="C59" s="5">
        <f t="shared" si="37"/>
        <v>238952</v>
      </c>
      <c r="D59" s="13">
        <f t="shared" si="13"/>
        <v>9921</v>
      </c>
      <c r="E59" s="17">
        <f t="shared" si="14"/>
        <v>24.085475254510634</v>
      </c>
      <c r="F59" s="5">
        <f t="shared" si="15"/>
        <v>970</v>
      </c>
      <c r="G59" s="18">
        <f t="shared" si="16"/>
        <v>4.0593926813753392E-3</v>
      </c>
      <c r="H59" s="8">
        <f t="shared" si="17"/>
        <v>11.806185964245156</v>
      </c>
      <c r="I59" s="5">
        <f t="shared" si="18"/>
        <v>3523.6</v>
      </c>
      <c r="J59" s="8">
        <f t="shared" si="19"/>
        <v>1.2490111396112398</v>
      </c>
      <c r="K59" s="8">
        <f t="shared" si="35"/>
        <v>53.028416325720087</v>
      </c>
      <c r="L59" s="5">
        <f t="shared" ref="L59:M59" si="38">F39</f>
        <v>76</v>
      </c>
      <c r="M59" s="8">
        <f t="shared" si="38"/>
        <v>4030.1596407547268</v>
      </c>
    </row>
    <row r="60" spans="1:13" x14ac:dyDescent="0.2">
      <c r="A60" s="5" t="str">
        <f t="shared" ref="A60:C60" si="39">A40</f>
        <v>Male Competitor Shoppers</v>
      </c>
      <c r="B60" s="8">
        <f t="shared" si="39"/>
        <v>272.31078664454395</v>
      </c>
      <c r="C60" s="5">
        <f t="shared" si="39"/>
        <v>36260</v>
      </c>
      <c r="D60" s="13">
        <f t="shared" si="13"/>
        <v>3108</v>
      </c>
      <c r="E60" s="17">
        <f t="shared" si="14"/>
        <v>11.666666666666666</v>
      </c>
      <c r="F60" s="5">
        <f t="shared" si="15"/>
        <v>94</v>
      </c>
      <c r="G60" s="18">
        <f t="shared" si="16"/>
        <v>2.592388306674021E-3</v>
      </c>
      <c r="H60" s="8">
        <f t="shared" si="17"/>
        <v>7.5099499901970201</v>
      </c>
      <c r="I60" s="5">
        <f t="shared" si="18"/>
        <v>40</v>
      </c>
      <c r="J60" s="8">
        <f t="shared" si="19"/>
        <v>0.14689098618856142</v>
      </c>
      <c r="K60" s="5" t="s">
        <v>80</v>
      </c>
      <c r="L60" s="5">
        <f t="shared" ref="L60:M60" si="40">F40</f>
        <v>1</v>
      </c>
      <c r="M60" s="8">
        <f t="shared" si="40"/>
        <v>389.01540949220572</v>
      </c>
    </row>
    <row r="61" spans="1:13" x14ac:dyDescent="0.2">
      <c r="A61" s="5" t="str">
        <f t="shared" ref="A61:C61" si="41">A41</f>
        <v>Male fine fragrance propensity model</v>
      </c>
      <c r="B61" s="8">
        <f t="shared" si="41"/>
        <v>93.803715707889182</v>
      </c>
      <c r="C61" s="5">
        <f t="shared" si="41"/>
        <v>13064</v>
      </c>
      <c r="D61" s="13">
        <f t="shared" si="13"/>
        <v>10866</v>
      </c>
      <c r="E61" s="17">
        <f t="shared" si="14"/>
        <v>1.2022823486103442</v>
      </c>
      <c r="F61" s="5">
        <f t="shared" si="15"/>
        <v>47</v>
      </c>
      <c r="G61" s="18">
        <f t="shared" si="16"/>
        <v>3.5976729944886712E-3</v>
      </c>
      <c r="H61" s="8">
        <f t="shared" si="17"/>
        <v>7.1803211656375678</v>
      </c>
      <c r="I61" s="5">
        <f t="shared" si="18"/>
        <v>0</v>
      </c>
      <c r="J61" s="8">
        <f t="shared" si="19"/>
        <v>0</v>
      </c>
      <c r="K61" s="5" t="s">
        <v>80</v>
      </c>
      <c r="L61" s="5">
        <f t="shared" ref="L61:M61" si="42">F41</f>
        <v>0</v>
      </c>
      <c r="M61" s="8">
        <f t="shared" si="42"/>
        <v>134.00530815412742</v>
      </c>
    </row>
    <row r="62" spans="1:13" x14ac:dyDescent="0.2">
      <c r="A62" s="5" t="str">
        <f t="shared" ref="A62:C62" si="43">A42</f>
        <v>Male premium cosmetics propensity model</v>
      </c>
      <c r="B62" s="8">
        <f t="shared" si="43"/>
        <v>316.41253358183513</v>
      </c>
      <c r="C62" s="5">
        <f t="shared" si="43"/>
        <v>44868</v>
      </c>
      <c r="D62" s="13">
        <f t="shared" si="13"/>
        <v>3901</v>
      </c>
      <c r="E62" s="17">
        <f t="shared" si="14"/>
        <v>11.501666239425788</v>
      </c>
      <c r="F62" s="5">
        <f t="shared" si="15"/>
        <v>111</v>
      </c>
      <c r="G62" s="18">
        <f t="shared" si="16"/>
        <v>2.4739235089596147E-3</v>
      </c>
      <c r="H62" s="8">
        <f t="shared" si="17"/>
        <v>7.0520757239421217</v>
      </c>
      <c r="I62" s="5">
        <f t="shared" si="18"/>
        <v>0</v>
      </c>
      <c r="J62" s="8">
        <f t="shared" si="19"/>
        <v>0</v>
      </c>
      <c r="K62" s="5" t="s">
        <v>80</v>
      </c>
      <c r="L62" s="5">
        <f t="shared" ref="L62:M62" si="44">F42</f>
        <v>0</v>
      </c>
      <c r="M62" s="8">
        <f t="shared" si="44"/>
        <v>452.01790511690734</v>
      </c>
    </row>
    <row r="63" spans="1:13" x14ac:dyDescent="0.2">
      <c r="A63" s="5" t="str">
        <f t="shared" ref="A63:C63" si="45">A43</f>
        <v>Male premium gift shoppers</v>
      </c>
      <c r="B63" s="8">
        <f t="shared" si="45"/>
        <v>117.60465849944313</v>
      </c>
      <c r="C63" s="5">
        <f t="shared" si="45"/>
        <v>15472</v>
      </c>
      <c r="D63" s="5">
        <f t="shared" si="13"/>
        <v>0</v>
      </c>
      <c r="E63" s="17" t="e">
        <f t="shared" si="14"/>
        <v>#DIV/0!</v>
      </c>
      <c r="F63" s="5">
        <f t="shared" si="15"/>
        <v>43</v>
      </c>
      <c r="G63" s="18">
        <f t="shared" si="16"/>
        <v>2.7792140641158219E-3</v>
      </c>
      <c r="H63" s="8">
        <f t="shared" si="17"/>
        <v>7.6011283931904812</v>
      </c>
      <c r="I63" s="5">
        <f t="shared" si="18"/>
        <v>0</v>
      </c>
      <c r="J63" s="8">
        <f t="shared" si="19"/>
        <v>0</v>
      </c>
      <c r="K63" s="8" t="e">
        <f>M63/L63</f>
        <v>#DIV/0!</v>
      </c>
      <c r="L63" s="5">
        <f t="shared" ref="L63:M63" si="46">F43</f>
        <v>0</v>
      </c>
      <c r="M63" s="8">
        <f t="shared" si="46"/>
        <v>168.00665499920447</v>
      </c>
    </row>
    <row r="64" spans="1:13" x14ac:dyDescent="0.2">
      <c r="B64" s="5">
        <f t="shared" ref="B64:C64" si="47">B44</f>
        <v>30799.119999999999</v>
      </c>
      <c r="C64" s="5">
        <f t="shared" si="47"/>
        <v>5802372</v>
      </c>
      <c r="E64" s="17"/>
      <c r="G64" s="18"/>
    </row>
    <row r="65" spans="1:12" x14ac:dyDescent="0.2">
      <c r="E65" s="17"/>
    </row>
    <row r="66" spans="1:12" x14ac:dyDescent="0.2">
      <c r="E66" s="17"/>
    </row>
    <row r="67" spans="1:12" x14ac:dyDescent="0.2">
      <c r="A67" s="19" t="s">
        <v>71</v>
      </c>
      <c r="B67" s="19" t="s">
        <v>72</v>
      </c>
      <c r="C67" s="19" t="s">
        <v>14</v>
      </c>
      <c r="D67" s="19" t="s">
        <v>16</v>
      </c>
      <c r="E67" s="19" t="s">
        <v>73</v>
      </c>
      <c r="F67" s="19" t="s">
        <v>15</v>
      </c>
      <c r="G67" s="19" t="s">
        <v>18</v>
      </c>
      <c r="H67" s="19" t="s">
        <v>74</v>
      </c>
      <c r="I67" s="19" t="s">
        <v>75</v>
      </c>
      <c r="J67" s="19" t="s">
        <v>76</v>
      </c>
      <c r="K67" s="19" t="s">
        <v>77</v>
      </c>
    </row>
    <row r="68" spans="1:12" x14ac:dyDescent="0.2">
      <c r="A68" s="19" t="s">
        <v>36</v>
      </c>
      <c r="B68" s="20">
        <v>3882.3537859399503</v>
      </c>
      <c r="C68" s="19">
        <v>307454</v>
      </c>
      <c r="D68" s="21">
        <v>9053</v>
      </c>
      <c r="E68" s="22">
        <v>33.961559703965534</v>
      </c>
      <c r="F68" s="19">
        <v>1279</v>
      </c>
      <c r="G68" s="23">
        <v>4.1599718982351834E-3</v>
      </c>
      <c r="H68" s="20">
        <v>12.627429748645165</v>
      </c>
      <c r="I68" s="19">
        <v>7195.34</v>
      </c>
      <c r="J68" s="20">
        <v>1.8533447482447682</v>
      </c>
      <c r="K68" s="20" t="s">
        <v>80</v>
      </c>
      <c r="L68" s="8">
        <f t="shared" ref="L68:L79" si="48">J68*0.7</f>
        <v>1.2973413237713376</v>
      </c>
    </row>
    <row r="69" spans="1:12" x14ac:dyDescent="0.2">
      <c r="A69" s="19" t="s">
        <v>42</v>
      </c>
      <c r="B69" s="20">
        <v>2821.1117485283085</v>
      </c>
      <c r="C69" s="19">
        <v>238952</v>
      </c>
      <c r="D69" s="21">
        <v>6641</v>
      </c>
      <c r="E69" s="22">
        <v>35.981328113235961</v>
      </c>
      <c r="F69" s="19">
        <v>970</v>
      </c>
      <c r="G69" s="23">
        <v>4.0593926813753392E-3</v>
      </c>
      <c r="H69" s="20">
        <v>11.806185964245156</v>
      </c>
      <c r="I69" s="19">
        <v>3523.6</v>
      </c>
      <c r="J69" s="20">
        <v>1.2490111396112398</v>
      </c>
      <c r="K69" s="20" t="s">
        <v>80</v>
      </c>
      <c r="L69" s="8">
        <f t="shared" si="48"/>
        <v>0.87430779772786782</v>
      </c>
    </row>
    <row r="70" spans="1:12" x14ac:dyDescent="0.2">
      <c r="A70" s="19" t="s">
        <v>34</v>
      </c>
      <c r="B70" s="20">
        <v>9999.8961110984837</v>
      </c>
      <c r="C70" s="19">
        <v>1936209</v>
      </c>
      <c r="D70" s="21">
        <v>206672</v>
      </c>
      <c r="E70" s="22">
        <v>9.3685114577688324</v>
      </c>
      <c r="F70" s="19">
        <v>4498</v>
      </c>
      <c r="G70" s="23">
        <v>2.3230963186308914E-3</v>
      </c>
      <c r="H70" s="20">
        <v>5.1646780441049929</v>
      </c>
      <c r="I70" s="19">
        <v>1610.04</v>
      </c>
      <c r="J70" s="20">
        <v>0.16100567267024715</v>
      </c>
      <c r="K70" s="20">
        <v>366.29656084609832</v>
      </c>
      <c r="L70" s="8">
        <f t="shared" si="48"/>
        <v>0.112703970869173</v>
      </c>
    </row>
    <row r="71" spans="1:12" x14ac:dyDescent="0.2">
      <c r="A71" s="19" t="s">
        <v>38</v>
      </c>
      <c r="B71" s="20">
        <v>2096.5830488442393</v>
      </c>
      <c r="C71" s="19">
        <v>1120312</v>
      </c>
      <c r="D71" s="21">
        <v>721734</v>
      </c>
      <c r="E71" s="22">
        <v>1.552250552142479</v>
      </c>
      <c r="F71" s="19">
        <v>1131</v>
      </c>
      <c r="G71" s="23">
        <v>1.0095401995158491E-3</v>
      </c>
      <c r="H71" s="20">
        <v>1.871427824431265</v>
      </c>
      <c r="I71" s="19">
        <v>324.39999999999998</v>
      </c>
      <c r="J71" s="20">
        <v>0.15472795135820089</v>
      </c>
      <c r="K71" s="20">
        <v>427.8740916008652</v>
      </c>
      <c r="L71" s="8">
        <f t="shared" si="48"/>
        <v>0.10830956595074062</v>
      </c>
    </row>
    <row r="72" spans="1:12" x14ac:dyDescent="0.2">
      <c r="A72" s="19" t="s">
        <v>37</v>
      </c>
      <c r="B72" s="20">
        <v>6999.5772639043571</v>
      </c>
      <c r="C72" s="19">
        <v>1333267</v>
      </c>
      <c r="D72" s="21">
        <v>137793</v>
      </c>
      <c r="E72" s="22">
        <v>9.675868875777434</v>
      </c>
      <c r="F72" s="19">
        <v>3131</v>
      </c>
      <c r="G72" s="23">
        <v>2.3483668312498547E-3</v>
      </c>
      <c r="H72" s="20">
        <v>5.2499441326488672</v>
      </c>
      <c r="I72" s="19">
        <v>1055.1400000000001</v>
      </c>
      <c r="J72" s="20">
        <v>0.15074338923883013</v>
      </c>
      <c r="K72" s="20">
        <v>434.75635179530173</v>
      </c>
      <c r="L72" s="8">
        <f t="shared" si="48"/>
        <v>0.10552037246718109</v>
      </c>
    </row>
    <row r="73" spans="1:12" x14ac:dyDescent="0.2">
      <c r="A73" s="19" t="s">
        <v>43</v>
      </c>
      <c r="B73" s="20">
        <v>272.31078664454395</v>
      </c>
      <c r="C73" s="19">
        <v>36260</v>
      </c>
      <c r="D73" s="21">
        <v>9921</v>
      </c>
      <c r="E73" s="22">
        <v>3.6548735006551758</v>
      </c>
      <c r="F73" s="19">
        <v>94</v>
      </c>
      <c r="G73" s="23">
        <v>2.592388306674021E-3</v>
      </c>
      <c r="H73" s="20">
        <v>7.5099499901970201</v>
      </c>
      <c r="I73" s="19">
        <v>40</v>
      </c>
      <c r="J73" s="20">
        <v>0.14689098618856142</v>
      </c>
      <c r="K73" s="20">
        <v>389.01540949220572</v>
      </c>
      <c r="L73" s="8">
        <f t="shared" si="48"/>
        <v>0.10282369033199298</v>
      </c>
    </row>
    <row r="74" spans="1:12" x14ac:dyDescent="0.2">
      <c r="A74" s="19" t="s">
        <v>39</v>
      </c>
      <c r="B74" s="20">
        <v>1188.6470841193718</v>
      </c>
      <c r="C74" s="19">
        <v>214136</v>
      </c>
      <c r="D74" s="21">
        <v>70242</v>
      </c>
      <c r="E74" s="22">
        <v>3.0485464536886764</v>
      </c>
      <c r="F74" s="19">
        <v>555</v>
      </c>
      <c r="G74" s="23">
        <v>2.5918108118205252E-3</v>
      </c>
      <c r="H74" s="20">
        <v>5.5508979532604137</v>
      </c>
      <c r="I74" s="19">
        <v>145.99</v>
      </c>
      <c r="J74" s="20">
        <v>0.12282030717987168</v>
      </c>
      <c r="K74" s="20">
        <v>424.5168157569185</v>
      </c>
      <c r="L74" s="8">
        <f t="shared" si="48"/>
        <v>8.597421502591017E-2</v>
      </c>
    </row>
    <row r="75" spans="1:12" x14ac:dyDescent="0.2">
      <c r="A75" s="19" t="s">
        <v>40</v>
      </c>
      <c r="B75" s="20">
        <v>1857.8735931995363</v>
      </c>
      <c r="C75" s="19">
        <v>347901</v>
      </c>
      <c r="D75" s="21">
        <v>82956</v>
      </c>
      <c r="E75" s="22">
        <v>4.1938015333429766</v>
      </c>
      <c r="F75" s="19">
        <v>706</v>
      </c>
      <c r="G75" s="23">
        <v>2.0293129367262527E-3</v>
      </c>
      <c r="H75" s="20">
        <v>5.3402364270281959</v>
      </c>
      <c r="I75" s="19">
        <v>95.2</v>
      </c>
      <c r="J75" s="20">
        <v>5.1241376350073073E-2</v>
      </c>
      <c r="K75" s="20">
        <v>1327.0525665710975</v>
      </c>
      <c r="L75" s="8">
        <f t="shared" si="48"/>
        <v>3.5868963445051145E-2</v>
      </c>
    </row>
    <row r="76" spans="1:12" x14ac:dyDescent="0.2">
      <c r="A76" s="19" t="s">
        <v>41</v>
      </c>
      <c r="B76" s="20">
        <v>1152.9456699320408</v>
      </c>
      <c r="C76" s="19">
        <v>194477</v>
      </c>
      <c r="D76" s="21">
        <v>47896</v>
      </c>
      <c r="E76" s="22">
        <v>4.0604017036913316</v>
      </c>
      <c r="F76" s="19">
        <v>442</v>
      </c>
      <c r="G76" s="23">
        <v>2.2727623317924483E-3</v>
      </c>
      <c r="H76" s="20">
        <v>5.9284422833139185</v>
      </c>
      <c r="I76" s="19">
        <v>0</v>
      </c>
      <c r="J76" s="20">
        <v>0</v>
      </c>
      <c r="K76" s="19" t="s">
        <v>80</v>
      </c>
      <c r="L76" s="8">
        <f t="shared" si="48"/>
        <v>0</v>
      </c>
    </row>
    <row r="77" spans="1:12" x14ac:dyDescent="0.2">
      <c r="A77" s="19" t="s">
        <v>44</v>
      </c>
      <c r="B77" s="20">
        <v>93.803715707889182</v>
      </c>
      <c r="C77" s="19">
        <v>13064</v>
      </c>
      <c r="D77" s="21">
        <v>3108</v>
      </c>
      <c r="E77" s="22">
        <v>4.2033462033462037</v>
      </c>
      <c r="F77" s="19">
        <v>47</v>
      </c>
      <c r="G77" s="23">
        <v>3.5976729944886712E-3</v>
      </c>
      <c r="H77" s="20">
        <v>7.1803211656375678</v>
      </c>
      <c r="I77" s="19">
        <v>0</v>
      </c>
      <c r="J77" s="20">
        <v>0</v>
      </c>
      <c r="K77" s="19" t="s">
        <v>80</v>
      </c>
      <c r="L77" s="8">
        <f t="shared" si="48"/>
        <v>0</v>
      </c>
    </row>
    <row r="78" spans="1:12" x14ac:dyDescent="0.2">
      <c r="A78" s="19" t="s">
        <v>45</v>
      </c>
      <c r="B78" s="20">
        <v>316.41253358183513</v>
      </c>
      <c r="C78" s="19">
        <v>44868</v>
      </c>
      <c r="D78" s="21">
        <v>10866</v>
      </c>
      <c r="E78" s="22">
        <v>4.1292103810049694</v>
      </c>
      <c r="F78" s="19">
        <v>111</v>
      </c>
      <c r="G78" s="23">
        <v>2.4739235089596147E-3</v>
      </c>
      <c r="H78" s="20">
        <v>7.0520757239421217</v>
      </c>
      <c r="I78" s="19">
        <v>0</v>
      </c>
      <c r="J78" s="20">
        <v>0</v>
      </c>
      <c r="K78" s="19" t="s">
        <v>80</v>
      </c>
      <c r="L78" s="8">
        <f t="shared" si="48"/>
        <v>0</v>
      </c>
    </row>
    <row r="79" spans="1:12" x14ac:dyDescent="0.2">
      <c r="A79" s="19" t="s">
        <v>46</v>
      </c>
      <c r="B79" s="20">
        <v>117.60465849944313</v>
      </c>
      <c r="C79" s="19">
        <v>15472</v>
      </c>
      <c r="D79" s="21">
        <v>3901</v>
      </c>
      <c r="E79" s="22">
        <v>3.966162522430146</v>
      </c>
      <c r="F79" s="19">
        <v>43</v>
      </c>
      <c r="G79" s="23">
        <v>2.7792140641158219E-3</v>
      </c>
      <c r="H79" s="20">
        <v>7.6011283931904812</v>
      </c>
      <c r="I79" s="19">
        <v>0</v>
      </c>
      <c r="J79" s="20">
        <v>0</v>
      </c>
      <c r="K79" s="19" t="s">
        <v>80</v>
      </c>
      <c r="L79" s="8">
        <f t="shared" si="48"/>
        <v>0</v>
      </c>
    </row>
    <row r="80" spans="1:12" x14ac:dyDescent="0.2">
      <c r="H80" s="13"/>
    </row>
    <row r="81" spans="8:8" x14ac:dyDescent="0.2">
      <c r="H81" s="13"/>
    </row>
    <row r="82" spans="8:8" x14ac:dyDescent="0.2">
      <c r="H82" s="13"/>
    </row>
    <row r="83" spans="8:8" x14ac:dyDescent="0.2">
      <c r="H83" s="13"/>
    </row>
  </sheetData>
  <autoFilter ref="A67:K79" xr:uid="{00000000-0009-0000-0000-000001000000}">
    <sortState xmlns:xlrd2="http://schemas.microsoft.com/office/spreadsheetml/2017/richdata2" ref="A67:K79">
      <sortCondition descending="1" ref="J67:J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0" x14ac:dyDescent="0.2">
      <c r="A1" s="24" t="s">
        <v>9</v>
      </c>
      <c r="B1" s="24" t="s">
        <v>14</v>
      </c>
      <c r="C1" s="24" t="s">
        <v>16</v>
      </c>
      <c r="D1" s="24" t="s">
        <v>15</v>
      </c>
      <c r="E1" s="24" t="s">
        <v>18</v>
      </c>
      <c r="F1" s="24" t="s">
        <v>73</v>
      </c>
      <c r="G1" s="24" t="s">
        <v>81</v>
      </c>
      <c r="H1" s="24" t="s">
        <v>19</v>
      </c>
      <c r="I1" s="24" t="s">
        <v>82</v>
      </c>
      <c r="J1" s="24" t="s">
        <v>83</v>
      </c>
      <c r="K1" s="24" t="s">
        <v>84</v>
      </c>
      <c r="L1" s="24" t="s">
        <v>85</v>
      </c>
      <c r="M1" s="24" t="s">
        <v>86</v>
      </c>
      <c r="N1" s="24" t="s">
        <v>8</v>
      </c>
      <c r="O1" s="24" t="s">
        <v>17</v>
      </c>
      <c r="P1" s="24" t="s">
        <v>1</v>
      </c>
      <c r="Q1" s="24" t="s">
        <v>2</v>
      </c>
      <c r="R1" s="24" t="s">
        <v>3</v>
      </c>
      <c r="S1" s="24" t="s">
        <v>4</v>
      </c>
      <c r="T1" s="24" t="s">
        <v>7</v>
      </c>
    </row>
    <row r="2" spans="1:20" x14ac:dyDescent="0.2">
      <c r="A2" s="5" t="s">
        <v>87</v>
      </c>
      <c r="B2" s="5">
        <v>1713442</v>
      </c>
      <c r="C2" s="5">
        <v>186485</v>
      </c>
      <c r="D2" s="5">
        <v>6184</v>
      </c>
      <c r="E2" s="5">
        <v>0.36</v>
      </c>
      <c r="F2" s="5">
        <v>9.1999999999999993</v>
      </c>
      <c r="G2" s="5">
        <v>17600</v>
      </c>
      <c r="H2" s="5">
        <v>10.27</v>
      </c>
      <c r="I2" s="5">
        <v>95</v>
      </c>
      <c r="J2" s="5">
        <v>4261.9399999999996</v>
      </c>
      <c r="K2" s="5" t="s">
        <v>4</v>
      </c>
      <c r="L2" s="5" t="s">
        <v>88</v>
      </c>
      <c r="M2" s="5" t="s">
        <v>89</v>
      </c>
      <c r="N2" s="5" t="s">
        <v>87</v>
      </c>
      <c r="O2" s="5">
        <v>186485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</row>
    <row r="3" spans="1:20" x14ac:dyDescent="0.2">
      <c r="A3" s="5" t="s">
        <v>34</v>
      </c>
      <c r="B3" s="5">
        <v>649111</v>
      </c>
      <c r="C3" s="5">
        <v>93284</v>
      </c>
      <c r="D3" s="5">
        <v>2146</v>
      </c>
      <c r="E3" s="5">
        <v>0.33</v>
      </c>
      <c r="F3" s="5">
        <v>7</v>
      </c>
      <c r="G3" s="5">
        <v>5714</v>
      </c>
      <c r="H3" s="5">
        <v>8.8000000000000007</v>
      </c>
      <c r="I3" s="5">
        <v>13</v>
      </c>
      <c r="J3" s="5">
        <v>585.20000000000005</v>
      </c>
      <c r="K3" s="5" t="s">
        <v>4</v>
      </c>
      <c r="L3" s="5" t="s">
        <v>88</v>
      </c>
      <c r="M3" s="5" t="s">
        <v>90</v>
      </c>
      <c r="N3" s="5" t="s">
        <v>34</v>
      </c>
      <c r="O3" s="5">
        <v>93284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</row>
    <row r="4" spans="1:20" x14ac:dyDescent="0.2">
      <c r="A4" s="5" t="s">
        <v>35</v>
      </c>
      <c r="B4" s="5">
        <v>649111</v>
      </c>
      <c r="C4" s="5">
        <v>93284</v>
      </c>
      <c r="D4" s="5">
        <v>2146</v>
      </c>
      <c r="E4" s="5">
        <v>0.33</v>
      </c>
      <c r="F4" s="5">
        <v>7</v>
      </c>
      <c r="G4" s="5">
        <v>5714</v>
      </c>
      <c r="H4" s="5">
        <v>8.8000000000000007</v>
      </c>
      <c r="I4" s="5">
        <v>13</v>
      </c>
      <c r="J4" s="5">
        <v>585.20000000000005</v>
      </c>
      <c r="K4" s="5" t="s">
        <v>4</v>
      </c>
      <c r="L4" s="5" t="s">
        <v>88</v>
      </c>
      <c r="M4" s="5" t="s">
        <v>91</v>
      </c>
      <c r="N4" s="5" t="s">
        <v>34</v>
      </c>
      <c r="O4" s="5">
        <v>93284</v>
      </c>
      <c r="P4" s="5" t="s">
        <v>29</v>
      </c>
      <c r="Q4" s="5" t="s">
        <v>30</v>
      </c>
      <c r="R4" s="5" t="s">
        <v>31</v>
      </c>
      <c r="S4" s="5" t="s">
        <v>32</v>
      </c>
      <c r="T4" s="5" t="s">
        <v>33</v>
      </c>
    </row>
    <row r="5" spans="1:20" x14ac:dyDescent="0.2">
      <c r="A5" s="5" t="s">
        <v>36</v>
      </c>
      <c r="B5" s="5">
        <v>217976</v>
      </c>
      <c r="C5" s="5">
        <v>7453</v>
      </c>
      <c r="D5" s="5">
        <v>884</v>
      </c>
      <c r="E5" s="5">
        <v>0.41</v>
      </c>
      <c r="F5" s="5">
        <v>29.2</v>
      </c>
      <c r="G5" s="5">
        <v>3211</v>
      </c>
      <c r="H5" s="5">
        <v>14.73</v>
      </c>
      <c r="I5" s="5">
        <v>50</v>
      </c>
      <c r="J5" s="5">
        <v>2381.3200000000002</v>
      </c>
      <c r="K5" s="5" t="s">
        <v>4</v>
      </c>
      <c r="L5" s="5" t="s">
        <v>88</v>
      </c>
      <c r="M5" s="5" t="s">
        <v>90</v>
      </c>
      <c r="N5" s="5" t="s">
        <v>36</v>
      </c>
      <c r="O5" s="5">
        <v>7453</v>
      </c>
      <c r="P5" s="5" t="s">
        <v>29</v>
      </c>
      <c r="Q5" s="5" t="s">
        <v>30</v>
      </c>
      <c r="R5" s="5" t="s">
        <v>31</v>
      </c>
      <c r="S5" s="5" t="s">
        <v>32</v>
      </c>
      <c r="T5" s="5" t="s">
        <v>33</v>
      </c>
    </row>
    <row r="6" spans="1:20" x14ac:dyDescent="0.2">
      <c r="A6" s="5" t="s">
        <v>35</v>
      </c>
      <c r="B6" s="5">
        <v>217976</v>
      </c>
      <c r="C6" s="5">
        <v>7453</v>
      </c>
      <c r="D6" s="5">
        <v>884</v>
      </c>
      <c r="E6" s="5">
        <v>0.41</v>
      </c>
      <c r="F6" s="5">
        <v>29.2</v>
      </c>
      <c r="G6" s="5">
        <v>3211</v>
      </c>
      <c r="H6" s="5">
        <v>14.73</v>
      </c>
      <c r="I6" s="5">
        <v>50</v>
      </c>
      <c r="J6" s="5">
        <v>2381.3200000000002</v>
      </c>
      <c r="K6" s="5" t="s">
        <v>4</v>
      </c>
      <c r="L6" s="5" t="s">
        <v>88</v>
      </c>
      <c r="M6" s="5" t="s">
        <v>91</v>
      </c>
      <c r="N6" s="5" t="s">
        <v>36</v>
      </c>
      <c r="O6" s="5">
        <v>7453</v>
      </c>
      <c r="P6" s="5" t="s">
        <v>29</v>
      </c>
      <c r="Q6" s="5" t="s">
        <v>30</v>
      </c>
      <c r="R6" s="5" t="s">
        <v>31</v>
      </c>
      <c r="S6" s="5" t="s">
        <v>32</v>
      </c>
      <c r="T6" s="5" t="s">
        <v>33</v>
      </c>
    </row>
    <row r="7" spans="1:20" x14ac:dyDescent="0.2">
      <c r="A7" s="5" t="s">
        <v>37</v>
      </c>
      <c r="B7" s="5">
        <v>486087</v>
      </c>
      <c r="C7" s="5">
        <v>64889</v>
      </c>
      <c r="D7" s="5">
        <v>1615</v>
      </c>
      <c r="E7" s="5">
        <v>0.33</v>
      </c>
      <c r="F7" s="5">
        <v>7.5</v>
      </c>
      <c r="G7" s="5">
        <v>4285</v>
      </c>
      <c r="H7" s="5">
        <v>8.82</v>
      </c>
      <c r="I7" s="5">
        <v>7</v>
      </c>
      <c r="J7" s="5">
        <v>229.95</v>
      </c>
      <c r="K7" s="5" t="s">
        <v>4</v>
      </c>
      <c r="L7" s="5" t="s">
        <v>88</v>
      </c>
      <c r="M7" s="5" t="s">
        <v>90</v>
      </c>
      <c r="N7" s="5" t="s">
        <v>37</v>
      </c>
      <c r="O7" s="5">
        <v>64889</v>
      </c>
      <c r="P7" s="5" t="s">
        <v>29</v>
      </c>
      <c r="Q7" s="5" t="s">
        <v>30</v>
      </c>
      <c r="R7" s="5" t="s">
        <v>31</v>
      </c>
      <c r="S7" s="5" t="s">
        <v>32</v>
      </c>
      <c r="T7" s="5" t="s">
        <v>33</v>
      </c>
    </row>
    <row r="8" spans="1:20" x14ac:dyDescent="0.2">
      <c r="A8" s="5" t="s">
        <v>35</v>
      </c>
      <c r="B8" s="5">
        <v>486087</v>
      </c>
      <c r="C8" s="5">
        <v>64889</v>
      </c>
      <c r="D8" s="5">
        <v>1615</v>
      </c>
      <c r="E8" s="5">
        <v>0.33</v>
      </c>
      <c r="F8" s="5">
        <v>7.5</v>
      </c>
      <c r="G8" s="5">
        <v>4285</v>
      </c>
      <c r="H8" s="5">
        <v>8.82</v>
      </c>
      <c r="I8" s="5">
        <v>7</v>
      </c>
      <c r="J8" s="5">
        <v>229.95</v>
      </c>
      <c r="K8" s="5" t="s">
        <v>4</v>
      </c>
      <c r="L8" s="5" t="s">
        <v>88</v>
      </c>
      <c r="M8" s="5" t="s">
        <v>91</v>
      </c>
      <c r="N8" s="5" t="s">
        <v>37</v>
      </c>
      <c r="O8" s="5">
        <v>64889</v>
      </c>
      <c r="P8" s="5" t="s">
        <v>29</v>
      </c>
      <c r="Q8" s="5" t="s">
        <v>30</v>
      </c>
      <c r="R8" s="5" t="s">
        <v>31</v>
      </c>
      <c r="S8" s="5" t="s">
        <v>32</v>
      </c>
      <c r="T8" s="5" t="s">
        <v>33</v>
      </c>
    </row>
    <row r="9" spans="1:20" x14ac:dyDescent="0.2">
      <c r="A9" s="5" t="s">
        <v>38</v>
      </c>
      <c r="B9" s="5">
        <v>15464</v>
      </c>
      <c r="C9" s="5">
        <v>4622</v>
      </c>
      <c r="D9" s="5">
        <v>68</v>
      </c>
      <c r="E9" s="5">
        <v>0.44</v>
      </c>
      <c r="F9" s="5">
        <v>3.3</v>
      </c>
      <c r="G9" s="5">
        <v>165</v>
      </c>
      <c r="H9" s="5">
        <v>10.67</v>
      </c>
      <c r="I9" s="5">
        <v>0</v>
      </c>
      <c r="J9" s="5">
        <v>0</v>
      </c>
      <c r="K9" s="5" t="s">
        <v>4</v>
      </c>
      <c r="L9" s="5" t="s">
        <v>88</v>
      </c>
      <c r="M9" s="5" t="s">
        <v>90</v>
      </c>
      <c r="N9" s="5" t="s">
        <v>38</v>
      </c>
      <c r="O9" s="5">
        <v>4622</v>
      </c>
      <c r="P9" s="5" t="s">
        <v>29</v>
      </c>
      <c r="Q9" s="5" t="s">
        <v>30</v>
      </c>
      <c r="R9" s="5" t="s">
        <v>31</v>
      </c>
      <c r="S9" s="5" t="s">
        <v>32</v>
      </c>
      <c r="T9" s="5" t="s">
        <v>33</v>
      </c>
    </row>
    <row r="10" spans="1:20" x14ac:dyDescent="0.2">
      <c r="A10" s="5" t="s">
        <v>35</v>
      </c>
      <c r="B10" s="5">
        <v>15464</v>
      </c>
      <c r="C10" s="5">
        <v>4622</v>
      </c>
      <c r="D10" s="5">
        <v>68</v>
      </c>
      <c r="E10" s="5">
        <v>0.44</v>
      </c>
      <c r="F10" s="5">
        <v>3.3</v>
      </c>
      <c r="G10" s="5">
        <v>165</v>
      </c>
      <c r="H10" s="5">
        <v>10.67</v>
      </c>
      <c r="I10" s="5">
        <v>0</v>
      </c>
      <c r="J10" s="5">
        <v>0</v>
      </c>
      <c r="K10" s="5" t="s">
        <v>4</v>
      </c>
      <c r="L10" s="5" t="s">
        <v>88</v>
      </c>
      <c r="M10" s="5" t="s">
        <v>91</v>
      </c>
      <c r="N10" s="5" t="s">
        <v>38</v>
      </c>
      <c r="O10" s="5">
        <v>4622</v>
      </c>
      <c r="P10" s="5" t="s">
        <v>29</v>
      </c>
      <c r="Q10" s="5" t="s">
        <v>30</v>
      </c>
      <c r="R10" s="5" t="s">
        <v>31</v>
      </c>
      <c r="S10" s="5" t="s">
        <v>32</v>
      </c>
      <c r="T10" s="5" t="s">
        <v>33</v>
      </c>
    </row>
    <row r="11" spans="1:20" x14ac:dyDescent="0.2">
      <c r="A11" s="5" t="s">
        <v>39</v>
      </c>
      <c r="B11" s="5">
        <v>59998</v>
      </c>
      <c r="C11" s="5">
        <v>14493</v>
      </c>
      <c r="D11" s="5">
        <v>267</v>
      </c>
      <c r="E11" s="5">
        <v>0.45</v>
      </c>
      <c r="F11" s="5">
        <v>4.0999999999999996</v>
      </c>
      <c r="G11" s="5">
        <v>592</v>
      </c>
      <c r="H11" s="5">
        <v>9.8699999999999992</v>
      </c>
      <c r="I11" s="5">
        <v>0</v>
      </c>
      <c r="J11" s="5">
        <v>0</v>
      </c>
      <c r="K11" s="5" t="s">
        <v>4</v>
      </c>
      <c r="L11" s="5" t="s">
        <v>88</v>
      </c>
      <c r="M11" s="5" t="s">
        <v>90</v>
      </c>
      <c r="N11" s="5" t="s">
        <v>39</v>
      </c>
      <c r="O11" s="5">
        <v>14493</v>
      </c>
      <c r="P11" s="5" t="s">
        <v>29</v>
      </c>
      <c r="Q11" s="5" t="s">
        <v>30</v>
      </c>
      <c r="R11" s="5" t="s">
        <v>31</v>
      </c>
      <c r="S11" s="5" t="s">
        <v>32</v>
      </c>
      <c r="T11" s="5" t="s">
        <v>33</v>
      </c>
    </row>
    <row r="12" spans="1:20" x14ac:dyDescent="0.2">
      <c r="A12" s="5" t="s">
        <v>35</v>
      </c>
      <c r="B12" s="5">
        <v>59998</v>
      </c>
      <c r="C12" s="5">
        <v>14493</v>
      </c>
      <c r="D12" s="5">
        <v>267</v>
      </c>
      <c r="E12" s="5">
        <v>0.45</v>
      </c>
      <c r="F12" s="5">
        <v>4.0999999999999996</v>
      </c>
      <c r="G12" s="5">
        <v>592</v>
      </c>
      <c r="H12" s="5">
        <v>9.8699999999999992</v>
      </c>
      <c r="I12" s="5">
        <v>0</v>
      </c>
      <c r="J12" s="5">
        <v>0</v>
      </c>
      <c r="K12" s="5" t="s">
        <v>4</v>
      </c>
      <c r="L12" s="5" t="s">
        <v>88</v>
      </c>
      <c r="M12" s="5" t="s">
        <v>91</v>
      </c>
      <c r="N12" s="5" t="s">
        <v>39</v>
      </c>
      <c r="O12" s="5">
        <v>14493</v>
      </c>
      <c r="P12" s="5" t="s">
        <v>29</v>
      </c>
      <c r="Q12" s="5" t="s">
        <v>30</v>
      </c>
      <c r="R12" s="5" t="s">
        <v>31</v>
      </c>
      <c r="S12" s="5" t="s">
        <v>32</v>
      </c>
      <c r="T12" s="5" t="s">
        <v>33</v>
      </c>
    </row>
    <row r="13" spans="1:20" x14ac:dyDescent="0.2">
      <c r="A13" s="5" t="s">
        <v>40</v>
      </c>
      <c r="B13" s="5">
        <v>56771</v>
      </c>
      <c r="C13" s="5">
        <v>15559</v>
      </c>
      <c r="D13" s="5">
        <v>245</v>
      </c>
      <c r="E13" s="5">
        <v>0.43</v>
      </c>
      <c r="F13" s="5">
        <v>3.6</v>
      </c>
      <c r="G13" s="5">
        <v>561</v>
      </c>
      <c r="H13" s="5">
        <v>9.8800000000000008</v>
      </c>
      <c r="I13" s="5">
        <v>0</v>
      </c>
      <c r="J13" s="5">
        <v>0</v>
      </c>
      <c r="K13" s="5" t="s">
        <v>4</v>
      </c>
      <c r="L13" s="5" t="s">
        <v>88</v>
      </c>
      <c r="M13" s="5" t="s">
        <v>90</v>
      </c>
      <c r="N13" s="5" t="s">
        <v>40</v>
      </c>
      <c r="O13" s="5">
        <v>15559</v>
      </c>
      <c r="P13" s="5" t="s">
        <v>29</v>
      </c>
      <c r="Q13" s="5" t="s">
        <v>30</v>
      </c>
      <c r="R13" s="5" t="s">
        <v>31</v>
      </c>
      <c r="S13" s="5" t="s">
        <v>32</v>
      </c>
      <c r="T13" s="5" t="s">
        <v>33</v>
      </c>
    </row>
    <row r="14" spans="1:20" x14ac:dyDescent="0.2">
      <c r="A14" s="5" t="s">
        <v>35</v>
      </c>
      <c r="B14" s="5">
        <v>56771</v>
      </c>
      <c r="C14" s="5">
        <v>15559</v>
      </c>
      <c r="D14" s="5">
        <v>245</v>
      </c>
      <c r="E14" s="5">
        <v>0.43</v>
      </c>
      <c r="F14" s="5">
        <v>3.6</v>
      </c>
      <c r="G14" s="5">
        <v>561</v>
      </c>
      <c r="H14" s="5">
        <v>9.8800000000000008</v>
      </c>
      <c r="I14" s="5">
        <v>0</v>
      </c>
      <c r="J14" s="5">
        <v>0</v>
      </c>
      <c r="K14" s="5" t="s">
        <v>4</v>
      </c>
      <c r="L14" s="5" t="s">
        <v>88</v>
      </c>
      <c r="M14" s="5" t="s">
        <v>91</v>
      </c>
      <c r="N14" s="5" t="s">
        <v>40</v>
      </c>
      <c r="O14" s="5">
        <v>15559</v>
      </c>
      <c r="P14" s="5" t="s">
        <v>29</v>
      </c>
      <c r="Q14" s="5" t="s">
        <v>30</v>
      </c>
      <c r="R14" s="5" t="s">
        <v>31</v>
      </c>
      <c r="S14" s="5" t="s">
        <v>32</v>
      </c>
      <c r="T14" s="5" t="s">
        <v>33</v>
      </c>
    </row>
    <row r="15" spans="1:20" x14ac:dyDescent="0.2">
      <c r="A15" s="5" t="s">
        <v>41</v>
      </c>
      <c r="B15" s="5">
        <v>39318</v>
      </c>
      <c r="C15" s="5">
        <v>10221</v>
      </c>
      <c r="D15" s="5">
        <v>193</v>
      </c>
      <c r="E15" s="5">
        <v>0.49</v>
      </c>
      <c r="F15" s="5">
        <v>3.8</v>
      </c>
      <c r="G15" s="5">
        <v>466</v>
      </c>
      <c r="H15" s="5">
        <v>11.85</v>
      </c>
      <c r="I15" s="5">
        <v>0</v>
      </c>
      <c r="J15" s="5">
        <v>0</v>
      </c>
      <c r="K15" s="5" t="s">
        <v>4</v>
      </c>
      <c r="L15" s="5" t="s">
        <v>88</v>
      </c>
      <c r="M15" s="5" t="s">
        <v>90</v>
      </c>
      <c r="N15" s="5" t="s">
        <v>41</v>
      </c>
      <c r="O15" s="5">
        <v>10221</v>
      </c>
      <c r="P15" s="5" t="s">
        <v>29</v>
      </c>
      <c r="Q15" s="5" t="s">
        <v>30</v>
      </c>
      <c r="R15" s="5" t="s">
        <v>31</v>
      </c>
      <c r="S15" s="5" t="s">
        <v>32</v>
      </c>
      <c r="T15" s="5" t="s">
        <v>33</v>
      </c>
    </row>
    <row r="16" spans="1:20" x14ac:dyDescent="0.2">
      <c r="A16" s="5" t="s">
        <v>35</v>
      </c>
      <c r="B16" s="5">
        <v>39318</v>
      </c>
      <c r="C16" s="5">
        <v>10221</v>
      </c>
      <c r="D16" s="5">
        <v>193</v>
      </c>
      <c r="E16" s="5">
        <v>0.49</v>
      </c>
      <c r="F16" s="5">
        <v>3.8</v>
      </c>
      <c r="G16" s="5">
        <v>466</v>
      </c>
      <c r="H16" s="5">
        <v>11.85</v>
      </c>
      <c r="I16" s="5">
        <v>0</v>
      </c>
      <c r="J16" s="5">
        <v>0</v>
      </c>
      <c r="K16" s="5" t="s">
        <v>4</v>
      </c>
      <c r="L16" s="5" t="s">
        <v>88</v>
      </c>
      <c r="M16" s="5" t="s">
        <v>91</v>
      </c>
      <c r="N16" s="5" t="s">
        <v>41</v>
      </c>
      <c r="O16" s="5">
        <v>10221</v>
      </c>
      <c r="P16" s="5" t="s">
        <v>29</v>
      </c>
      <c r="Q16" s="5" t="s">
        <v>30</v>
      </c>
      <c r="R16" s="5" t="s">
        <v>31</v>
      </c>
      <c r="S16" s="5" t="s">
        <v>32</v>
      </c>
      <c r="T16" s="5" t="s">
        <v>33</v>
      </c>
    </row>
    <row r="17" spans="1:20" x14ac:dyDescent="0.2">
      <c r="A17" s="5" t="s">
        <v>42</v>
      </c>
      <c r="B17" s="5">
        <v>172808</v>
      </c>
      <c r="C17" s="5">
        <v>5415</v>
      </c>
      <c r="D17" s="5">
        <v>687</v>
      </c>
      <c r="E17" s="5">
        <v>0.4</v>
      </c>
      <c r="F17" s="5">
        <v>31.9</v>
      </c>
      <c r="G17" s="5">
        <v>2428</v>
      </c>
      <c r="H17" s="5">
        <v>14.05</v>
      </c>
      <c r="I17" s="5">
        <v>25</v>
      </c>
      <c r="J17" s="5">
        <v>1065.47</v>
      </c>
      <c r="K17" s="5" t="s">
        <v>4</v>
      </c>
      <c r="L17" s="5" t="s">
        <v>88</v>
      </c>
      <c r="M17" s="5" t="s">
        <v>90</v>
      </c>
      <c r="N17" s="5" t="s">
        <v>42</v>
      </c>
      <c r="O17" s="5">
        <v>5415</v>
      </c>
      <c r="P17" s="5" t="s">
        <v>29</v>
      </c>
      <c r="Q17" s="5" t="s">
        <v>30</v>
      </c>
      <c r="R17" s="5" t="s">
        <v>31</v>
      </c>
      <c r="S17" s="5" t="s">
        <v>32</v>
      </c>
      <c r="T17" s="5" t="s">
        <v>33</v>
      </c>
    </row>
    <row r="18" spans="1:20" x14ac:dyDescent="0.2">
      <c r="A18" s="5" t="s">
        <v>35</v>
      </c>
      <c r="B18" s="5">
        <v>172808</v>
      </c>
      <c r="C18" s="5">
        <v>5415</v>
      </c>
      <c r="D18" s="5">
        <v>687</v>
      </c>
      <c r="E18" s="5">
        <v>0.4</v>
      </c>
      <c r="F18" s="5">
        <v>31.9</v>
      </c>
      <c r="G18" s="5">
        <v>2428</v>
      </c>
      <c r="H18" s="5">
        <v>14.05</v>
      </c>
      <c r="I18" s="5">
        <v>25</v>
      </c>
      <c r="J18" s="5">
        <v>1065.47</v>
      </c>
      <c r="K18" s="5" t="s">
        <v>4</v>
      </c>
      <c r="L18" s="5" t="s">
        <v>88</v>
      </c>
      <c r="M18" s="5" t="s">
        <v>91</v>
      </c>
      <c r="N18" s="5" t="s">
        <v>42</v>
      </c>
      <c r="O18" s="5">
        <v>5415</v>
      </c>
      <c r="P18" s="5" t="s">
        <v>29</v>
      </c>
      <c r="Q18" s="5" t="s">
        <v>30</v>
      </c>
      <c r="R18" s="5" t="s">
        <v>31</v>
      </c>
      <c r="S18" s="5" t="s">
        <v>32</v>
      </c>
      <c r="T18" s="5" t="s">
        <v>33</v>
      </c>
    </row>
    <row r="19" spans="1:20" x14ac:dyDescent="0.2">
      <c r="A19" s="5" t="s">
        <v>43</v>
      </c>
      <c r="B19" s="5">
        <v>5736</v>
      </c>
      <c r="C19" s="5">
        <v>1446</v>
      </c>
      <c r="D19" s="5">
        <v>29</v>
      </c>
      <c r="E19" s="5">
        <v>0.51</v>
      </c>
      <c r="F19" s="5">
        <v>4</v>
      </c>
      <c r="G19" s="5">
        <v>68</v>
      </c>
      <c r="H19" s="5">
        <v>11.85</v>
      </c>
      <c r="I19" s="5">
        <v>0</v>
      </c>
      <c r="J19" s="5">
        <v>0</v>
      </c>
      <c r="K19" s="5" t="s">
        <v>4</v>
      </c>
      <c r="L19" s="5" t="s">
        <v>88</v>
      </c>
      <c r="M19" s="5" t="s">
        <v>90</v>
      </c>
      <c r="N19" s="5" t="s">
        <v>43</v>
      </c>
      <c r="O19" s="5">
        <v>1446</v>
      </c>
      <c r="P19" s="5" t="s">
        <v>29</v>
      </c>
      <c r="Q19" s="5" t="s">
        <v>30</v>
      </c>
      <c r="R19" s="5" t="s">
        <v>31</v>
      </c>
      <c r="S19" s="5" t="s">
        <v>32</v>
      </c>
      <c r="T19" s="5" t="s">
        <v>33</v>
      </c>
    </row>
    <row r="20" spans="1:20" x14ac:dyDescent="0.2">
      <c r="A20" s="5" t="s">
        <v>35</v>
      </c>
      <c r="B20" s="5">
        <v>5736</v>
      </c>
      <c r="C20" s="5">
        <v>1446</v>
      </c>
      <c r="D20" s="5">
        <v>29</v>
      </c>
      <c r="E20" s="5">
        <v>0.51</v>
      </c>
      <c r="F20" s="5">
        <v>4</v>
      </c>
      <c r="G20" s="5">
        <v>68</v>
      </c>
      <c r="H20" s="5">
        <v>11.85</v>
      </c>
      <c r="I20" s="5">
        <v>0</v>
      </c>
      <c r="J20" s="5">
        <v>0</v>
      </c>
      <c r="K20" s="5" t="s">
        <v>4</v>
      </c>
      <c r="L20" s="5" t="s">
        <v>88</v>
      </c>
      <c r="M20" s="5" t="s">
        <v>91</v>
      </c>
      <c r="N20" s="5" t="s">
        <v>43</v>
      </c>
      <c r="O20" s="5">
        <v>1446</v>
      </c>
      <c r="P20" s="5" t="s">
        <v>29</v>
      </c>
      <c r="Q20" s="5" t="s">
        <v>30</v>
      </c>
      <c r="R20" s="5" t="s">
        <v>31</v>
      </c>
      <c r="S20" s="5" t="s">
        <v>32</v>
      </c>
      <c r="T20" s="5" t="s">
        <v>33</v>
      </c>
    </row>
    <row r="21" spans="1:20" ht="15.75" customHeight="1" x14ac:dyDescent="0.2">
      <c r="A21" s="5" t="s">
        <v>44</v>
      </c>
      <c r="B21" s="5">
        <v>1791</v>
      </c>
      <c r="C21" s="5">
        <v>514</v>
      </c>
      <c r="D21" s="5">
        <v>12</v>
      </c>
      <c r="E21" s="5">
        <v>0.67</v>
      </c>
      <c r="F21" s="5">
        <v>3.5</v>
      </c>
      <c r="G21" s="5">
        <v>20</v>
      </c>
      <c r="H21" s="5">
        <v>11.17</v>
      </c>
      <c r="I21" s="5">
        <v>0</v>
      </c>
      <c r="J21" s="5">
        <v>0</v>
      </c>
      <c r="K21" s="5" t="s">
        <v>4</v>
      </c>
      <c r="L21" s="5" t="s">
        <v>88</v>
      </c>
      <c r="M21" s="5" t="s">
        <v>90</v>
      </c>
      <c r="N21" s="5" t="s">
        <v>44</v>
      </c>
      <c r="O21" s="5">
        <v>514</v>
      </c>
      <c r="P21" s="5" t="s">
        <v>29</v>
      </c>
      <c r="Q21" s="5" t="s">
        <v>30</v>
      </c>
      <c r="R21" s="5" t="s">
        <v>31</v>
      </c>
      <c r="S21" s="5" t="s">
        <v>32</v>
      </c>
      <c r="T21" s="5" t="s">
        <v>33</v>
      </c>
    </row>
    <row r="22" spans="1:20" ht="15.75" customHeight="1" x14ac:dyDescent="0.2">
      <c r="A22" s="5" t="s">
        <v>35</v>
      </c>
      <c r="B22" s="5">
        <v>1791</v>
      </c>
      <c r="C22" s="5">
        <v>514</v>
      </c>
      <c r="D22" s="5">
        <v>12</v>
      </c>
      <c r="E22" s="5">
        <v>0.67</v>
      </c>
      <c r="F22" s="5">
        <v>3.5</v>
      </c>
      <c r="G22" s="5">
        <v>20</v>
      </c>
      <c r="H22" s="5">
        <v>11.17</v>
      </c>
      <c r="I22" s="5">
        <v>0</v>
      </c>
      <c r="J22" s="5">
        <v>0</v>
      </c>
      <c r="K22" s="5" t="s">
        <v>4</v>
      </c>
      <c r="L22" s="5" t="s">
        <v>88</v>
      </c>
      <c r="M22" s="5" t="s">
        <v>91</v>
      </c>
      <c r="N22" s="5" t="s">
        <v>44</v>
      </c>
      <c r="O22" s="5">
        <v>514</v>
      </c>
      <c r="P22" s="5" t="s">
        <v>29</v>
      </c>
      <c r="Q22" s="5" t="s">
        <v>30</v>
      </c>
      <c r="R22" s="5" t="s">
        <v>31</v>
      </c>
      <c r="S22" s="5" t="s">
        <v>32</v>
      </c>
      <c r="T22" s="5" t="s">
        <v>33</v>
      </c>
    </row>
    <row r="23" spans="1:20" ht="15.75" customHeight="1" x14ac:dyDescent="0.2">
      <c r="A23" s="5" t="s">
        <v>45</v>
      </c>
      <c r="B23" s="5">
        <v>5748</v>
      </c>
      <c r="C23" s="5">
        <v>1600</v>
      </c>
      <c r="D23" s="5">
        <v>25</v>
      </c>
      <c r="E23" s="5">
        <v>0.43</v>
      </c>
      <c r="F23" s="5">
        <v>3.6</v>
      </c>
      <c r="G23" s="5">
        <v>59</v>
      </c>
      <c r="H23" s="5">
        <v>10.26</v>
      </c>
      <c r="I23" s="5">
        <v>0</v>
      </c>
      <c r="J23" s="5">
        <v>0</v>
      </c>
      <c r="K23" s="5" t="s">
        <v>4</v>
      </c>
      <c r="L23" s="5" t="s">
        <v>88</v>
      </c>
      <c r="M23" s="5" t="s">
        <v>90</v>
      </c>
      <c r="N23" s="5" t="s">
        <v>45</v>
      </c>
      <c r="O23" s="5">
        <v>1600</v>
      </c>
      <c r="P23" s="5" t="s">
        <v>29</v>
      </c>
      <c r="Q23" s="5" t="s">
        <v>30</v>
      </c>
      <c r="R23" s="5" t="s">
        <v>31</v>
      </c>
      <c r="S23" s="5" t="s">
        <v>32</v>
      </c>
      <c r="T23" s="5" t="s">
        <v>33</v>
      </c>
    </row>
    <row r="24" spans="1:20" ht="15.75" customHeight="1" x14ac:dyDescent="0.2">
      <c r="A24" s="5" t="s">
        <v>35</v>
      </c>
      <c r="B24" s="5">
        <v>5748</v>
      </c>
      <c r="C24" s="5">
        <v>1600</v>
      </c>
      <c r="D24" s="5">
        <v>25</v>
      </c>
      <c r="E24" s="5">
        <v>0.43</v>
      </c>
      <c r="F24" s="5">
        <v>3.6</v>
      </c>
      <c r="G24" s="5">
        <v>59</v>
      </c>
      <c r="H24" s="5">
        <v>10.26</v>
      </c>
      <c r="I24" s="5">
        <v>0</v>
      </c>
      <c r="J24" s="5">
        <v>0</v>
      </c>
      <c r="K24" s="5" t="s">
        <v>4</v>
      </c>
      <c r="L24" s="5" t="s">
        <v>88</v>
      </c>
      <c r="M24" s="5" t="s">
        <v>91</v>
      </c>
      <c r="N24" s="5" t="s">
        <v>45</v>
      </c>
      <c r="O24" s="5">
        <v>1600</v>
      </c>
      <c r="P24" s="5" t="s">
        <v>29</v>
      </c>
      <c r="Q24" s="5" t="s">
        <v>30</v>
      </c>
      <c r="R24" s="5" t="s">
        <v>31</v>
      </c>
      <c r="S24" s="5" t="s">
        <v>32</v>
      </c>
      <c r="T24" s="5" t="s">
        <v>33</v>
      </c>
    </row>
    <row r="25" spans="1:20" ht="15.75" customHeight="1" x14ac:dyDescent="0.2">
      <c r="A25" s="5" t="s">
        <v>46</v>
      </c>
      <c r="B25" s="5">
        <v>2634</v>
      </c>
      <c r="C25" s="5">
        <v>635</v>
      </c>
      <c r="D25" s="5">
        <v>13</v>
      </c>
      <c r="E25" s="5">
        <v>0.49</v>
      </c>
      <c r="F25" s="5">
        <v>4.0999999999999996</v>
      </c>
      <c r="G25" s="5">
        <v>30</v>
      </c>
      <c r="H25" s="5">
        <v>11.39</v>
      </c>
      <c r="I25" s="5">
        <v>0</v>
      </c>
      <c r="J25" s="5">
        <v>0</v>
      </c>
      <c r="K25" s="5" t="s">
        <v>4</v>
      </c>
      <c r="L25" s="5" t="s">
        <v>88</v>
      </c>
      <c r="M25" s="5" t="s">
        <v>90</v>
      </c>
      <c r="N25" s="5" t="s">
        <v>46</v>
      </c>
      <c r="O25" s="5">
        <v>635</v>
      </c>
      <c r="P25" s="5" t="s">
        <v>29</v>
      </c>
      <c r="Q25" s="5" t="s">
        <v>30</v>
      </c>
      <c r="R25" s="5" t="s">
        <v>31</v>
      </c>
      <c r="S25" s="5" t="s">
        <v>32</v>
      </c>
      <c r="T25" s="5" t="s">
        <v>33</v>
      </c>
    </row>
    <row r="26" spans="1:20" ht="15.75" customHeight="1" x14ac:dyDescent="0.2">
      <c r="A26" s="5" t="s">
        <v>35</v>
      </c>
      <c r="B26" s="5">
        <v>2634</v>
      </c>
      <c r="C26" s="5">
        <v>635</v>
      </c>
      <c r="D26" s="5">
        <v>13</v>
      </c>
      <c r="E26" s="5">
        <v>0.49</v>
      </c>
      <c r="F26" s="5">
        <v>4.0999999999999996</v>
      </c>
      <c r="G26" s="5">
        <v>30</v>
      </c>
      <c r="H26" s="5">
        <v>11.39</v>
      </c>
      <c r="I26" s="5">
        <v>0</v>
      </c>
      <c r="J26" s="5">
        <v>0</v>
      </c>
      <c r="K26" s="5" t="s">
        <v>4</v>
      </c>
      <c r="L26" s="5" t="s">
        <v>88</v>
      </c>
      <c r="M26" s="5" t="s">
        <v>91</v>
      </c>
      <c r="N26" s="5" t="s">
        <v>46</v>
      </c>
      <c r="O26" s="5">
        <v>635</v>
      </c>
      <c r="P26" s="5" t="s">
        <v>29</v>
      </c>
      <c r="Q26" s="5" t="s">
        <v>30</v>
      </c>
      <c r="R26" s="5" t="s">
        <v>31</v>
      </c>
      <c r="S26" s="5" t="s">
        <v>32</v>
      </c>
      <c r="T26" s="5" t="s">
        <v>33</v>
      </c>
    </row>
    <row r="27" spans="1:20" ht="15.75" customHeight="1" x14ac:dyDescent="0.2">
      <c r="A27" s="5" t="s">
        <v>87</v>
      </c>
      <c r="B27" s="5">
        <v>1713442</v>
      </c>
      <c r="C27" s="5">
        <v>186485</v>
      </c>
      <c r="D27" s="5">
        <v>6184</v>
      </c>
      <c r="E27" s="5">
        <v>0.36</v>
      </c>
      <c r="F27" s="5">
        <v>9.1999999999999993</v>
      </c>
      <c r="G27" s="5">
        <v>17600</v>
      </c>
      <c r="H27" s="5">
        <v>10.27</v>
      </c>
      <c r="I27" s="5">
        <v>49</v>
      </c>
      <c r="J27" s="5">
        <v>2266.02</v>
      </c>
      <c r="K27" s="5" t="s">
        <v>4</v>
      </c>
      <c r="L27" s="5" t="s">
        <v>92</v>
      </c>
      <c r="M27" s="5" t="s">
        <v>89</v>
      </c>
      <c r="N27" s="5" t="s">
        <v>87</v>
      </c>
      <c r="O27" s="5">
        <v>186485</v>
      </c>
      <c r="P27" s="5" t="s">
        <v>29</v>
      </c>
      <c r="Q27" s="5" t="s">
        <v>30</v>
      </c>
      <c r="R27" s="5" t="s">
        <v>31</v>
      </c>
      <c r="S27" s="5" t="s">
        <v>32</v>
      </c>
      <c r="T27" s="5" t="s">
        <v>33</v>
      </c>
    </row>
    <row r="28" spans="1:20" ht="15.75" customHeight="1" x14ac:dyDescent="0.2">
      <c r="A28" s="5" t="s">
        <v>34</v>
      </c>
      <c r="B28" s="5">
        <v>649111</v>
      </c>
      <c r="C28" s="5">
        <v>93284</v>
      </c>
      <c r="D28" s="5">
        <v>2146</v>
      </c>
      <c r="E28" s="5">
        <v>0.33</v>
      </c>
      <c r="F28" s="5">
        <v>7</v>
      </c>
      <c r="G28" s="5">
        <v>5714</v>
      </c>
      <c r="H28" s="5">
        <v>8.8000000000000007</v>
      </c>
      <c r="I28" s="5">
        <v>8</v>
      </c>
      <c r="J28" s="5">
        <v>286.2</v>
      </c>
      <c r="K28" s="5" t="s">
        <v>4</v>
      </c>
      <c r="L28" s="5" t="s">
        <v>92</v>
      </c>
      <c r="M28" s="5" t="s">
        <v>90</v>
      </c>
      <c r="N28" s="5" t="s">
        <v>34</v>
      </c>
      <c r="O28" s="5">
        <v>93284</v>
      </c>
      <c r="P28" s="5" t="s">
        <v>29</v>
      </c>
      <c r="Q28" s="5" t="s">
        <v>30</v>
      </c>
      <c r="R28" s="5" t="s">
        <v>31</v>
      </c>
      <c r="S28" s="5" t="s">
        <v>32</v>
      </c>
      <c r="T28" s="5" t="s">
        <v>33</v>
      </c>
    </row>
    <row r="29" spans="1:20" ht="15.75" customHeight="1" x14ac:dyDescent="0.2">
      <c r="A29" s="5" t="s">
        <v>35</v>
      </c>
      <c r="B29" s="5">
        <v>649111</v>
      </c>
      <c r="C29" s="5">
        <v>93284</v>
      </c>
      <c r="D29" s="5">
        <v>2146</v>
      </c>
      <c r="E29" s="5">
        <v>0.33</v>
      </c>
      <c r="F29" s="5">
        <v>7</v>
      </c>
      <c r="G29" s="5">
        <v>5714</v>
      </c>
      <c r="H29" s="5">
        <v>8.8000000000000007</v>
      </c>
      <c r="I29" s="5">
        <v>8</v>
      </c>
      <c r="J29" s="5">
        <v>286.2</v>
      </c>
      <c r="K29" s="5" t="s">
        <v>4</v>
      </c>
      <c r="L29" s="5" t="s">
        <v>92</v>
      </c>
      <c r="M29" s="5" t="s">
        <v>91</v>
      </c>
      <c r="N29" s="5" t="s">
        <v>34</v>
      </c>
      <c r="O29" s="5">
        <v>93284</v>
      </c>
      <c r="P29" s="5" t="s">
        <v>29</v>
      </c>
      <c r="Q29" s="5" t="s">
        <v>30</v>
      </c>
      <c r="R29" s="5" t="s">
        <v>31</v>
      </c>
      <c r="S29" s="5" t="s">
        <v>32</v>
      </c>
      <c r="T29" s="5" t="s">
        <v>33</v>
      </c>
    </row>
    <row r="30" spans="1:20" ht="15.75" customHeight="1" x14ac:dyDescent="0.2">
      <c r="A30" s="5" t="s">
        <v>36</v>
      </c>
      <c r="B30" s="5">
        <v>217976</v>
      </c>
      <c r="C30" s="5">
        <v>7453</v>
      </c>
      <c r="D30" s="5">
        <v>884</v>
      </c>
      <c r="E30" s="5">
        <v>0.41</v>
      </c>
      <c r="F30" s="5">
        <v>29.2</v>
      </c>
      <c r="G30" s="5">
        <v>3211</v>
      </c>
      <c r="H30" s="5">
        <v>14.73</v>
      </c>
      <c r="I30" s="5">
        <v>20</v>
      </c>
      <c r="J30" s="5">
        <v>897.1</v>
      </c>
      <c r="K30" s="5" t="s">
        <v>4</v>
      </c>
      <c r="L30" s="5" t="s">
        <v>92</v>
      </c>
      <c r="M30" s="5" t="s">
        <v>90</v>
      </c>
      <c r="N30" s="5" t="s">
        <v>36</v>
      </c>
      <c r="O30" s="5">
        <v>7453</v>
      </c>
      <c r="P30" s="5" t="s">
        <v>29</v>
      </c>
      <c r="Q30" s="5" t="s">
        <v>30</v>
      </c>
      <c r="R30" s="5" t="s">
        <v>31</v>
      </c>
      <c r="S30" s="5" t="s">
        <v>32</v>
      </c>
      <c r="T30" s="5" t="s">
        <v>33</v>
      </c>
    </row>
    <row r="31" spans="1:20" ht="15.75" customHeight="1" x14ac:dyDescent="0.2">
      <c r="A31" s="5" t="s">
        <v>35</v>
      </c>
      <c r="B31" s="5">
        <v>217976</v>
      </c>
      <c r="C31" s="5">
        <v>7453</v>
      </c>
      <c r="D31" s="5">
        <v>884</v>
      </c>
      <c r="E31" s="5">
        <v>0.41</v>
      </c>
      <c r="F31" s="5">
        <v>29.2</v>
      </c>
      <c r="G31" s="5">
        <v>3211</v>
      </c>
      <c r="H31" s="5">
        <v>14.73</v>
      </c>
      <c r="I31" s="5">
        <v>20</v>
      </c>
      <c r="J31" s="5">
        <v>897.1</v>
      </c>
      <c r="K31" s="5" t="s">
        <v>4</v>
      </c>
      <c r="L31" s="5" t="s">
        <v>92</v>
      </c>
      <c r="M31" s="5" t="s">
        <v>91</v>
      </c>
      <c r="N31" s="5" t="s">
        <v>36</v>
      </c>
      <c r="O31" s="5">
        <v>7453</v>
      </c>
      <c r="P31" s="5" t="s">
        <v>29</v>
      </c>
      <c r="Q31" s="5" t="s">
        <v>30</v>
      </c>
      <c r="R31" s="5" t="s">
        <v>31</v>
      </c>
      <c r="S31" s="5" t="s">
        <v>32</v>
      </c>
      <c r="T31" s="5" t="s">
        <v>33</v>
      </c>
    </row>
    <row r="32" spans="1:20" ht="15.75" customHeight="1" x14ac:dyDescent="0.2">
      <c r="A32" s="5" t="s">
        <v>37</v>
      </c>
      <c r="B32" s="5">
        <v>486087</v>
      </c>
      <c r="C32" s="5">
        <v>64889</v>
      </c>
      <c r="D32" s="5">
        <v>1615</v>
      </c>
      <c r="E32" s="5">
        <v>0.33</v>
      </c>
      <c r="F32" s="5">
        <v>7.5</v>
      </c>
      <c r="G32" s="5">
        <v>4285</v>
      </c>
      <c r="H32" s="5">
        <v>8.82</v>
      </c>
      <c r="I32" s="5">
        <v>7</v>
      </c>
      <c r="J32" s="5">
        <v>401.5</v>
      </c>
      <c r="K32" s="5" t="s">
        <v>4</v>
      </c>
      <c r="L32" s="5" t="s">
        <v>92</v>
      </c>
      <c r="M32" s="5" t="s">
        <v>90</v>
      </c>
      <c r="N32" s="5" t="s">
        <v>37</v>
      </c>
      <c r="O32" s="5">
        <v>64889</v>
      </c>
      <c r="P32" s="5" t="s">
        <v>29</v>
      </c>
      <c r="Q32" s="5" t="s">
        <v>30</v>
      </c>
      <c r="R32" s="5" t="s">
        <v>31</v>
      </c>
      <c r="S32" s="5" t="s">
        <v>32</v>
      </c>
      <c r="T32" s="5" t="s">
        <v>33</v>
      </c>
    </row>
    <row r="33" spans="1:20" ht="15.75" customHeight="1" x14ac:dyDescent="0.2">
      <c r="A33" s="5" t="s">
        <v>35</v>
      </c>
      <c r="B33" s="5">
        <v>486087</v>
      </c>
      <c r="C33" s="5">
        <v>64889</v>
      </c>
      <c r="D33" s="5">
        <v>1615</v>
      </c>
      <c r="E33" s="5">
        <v>0.33</v>
      </c>
      <c r="F33" s="5">
        <v>7.5</v>
      </c>
      <c r="G33" s="5">
        <v>4285</v>
      </c>
      <c r="H33" s="5">
        <v>8.82</v>
      </c>
      <c r="I33" s="5">
        <v>7</v>
      </c>
      <c r="J33" s="5">
        <v>401.5</v>
      </c>
      <c r="K33" s="5" t="s">
        <v>4</v>
      </c>
      <c r="L33" s="5" t="s">
        <v>92</v>
      </c>
      <c r="M33" s="5" t="s">
        <v>91</v>
      </c>
      <c r="N33" s="5" t="s">
        <v>37</v>
      </c>
      <c r="O33" s="5">
        <v>64889</v>
      </c>
      <c r="P33" s="5" t="s">
        <v>29</v>
      </c>
      <c r="Q33" s="5" t="s">
        <v>30</v>
      </c>
      <c r="R33" s="5" t="s">
        <v>31</v>
      </c>
      <c r="S33" s="5" t="s">
        <v>32</v>
      </c>
      <c r="T33" s="5" t="s">
        <v>33</v>
      </c>
    </row>
    <row r="34" spans="1:20" ht="15.75" customHeight="1" x14ac:dyDescent="0.2">
      <c r="A34" s="5" t="s">
        <v>38</v>
      </c>
      <c r="B34" s="5">
        <v>15464</v>
      </c>
      <c r="C34" s="5">
        <v>4622</v>
      </c>
      <c r="D34" s="5">
        <v>68</v>
      </c>
      <c r="E34" s="5">
        <v>0.44</v>
      </c>
      <c r="F34" s="5">
        <v>3.3</v>
      </c>
      <c r="G34" s="5">
        <v>165</v>
      </c>
      <c r="H34" s="5">
        <v>10.67</v>
      </c>
      <c r="I34" s="5">
        <v>0</v>
      </c>
      <c r="J34" s="5">
        <v>0</v>
      </c>
      <c r="K34" s="5" t="s">
        <v>4</v>
      </c>
      <c r="L34" s="5" t="s">
        <v>92</v>
      </c>
      <c r="M34" s="5" t="s">
        <v>90</v>
      </c>
      <c r="N34" s="5" t="s">
        <v>38</v>
      </c>
      <c r="O34" s="5">
        <v>4622</v>
      </c>
      <c r="P34" s="5" t="s">
        <v>29</v>
      </c>
      <c r="Q34" s="5" t="s">
        <v>30</v>
      </c>
      <c r="R34" s="5" t="s">
        <v>31</v>
      </c>
      <c r="S34" s="5" t="s">
        <v>32</v>
      </c>
      <c r="T34" s="5" t="s">
        <v>33</v>
      </c>
    </row>
    <row r="35" spans="1:20" ht="15.75" customHeight="1" x14ac:dyDescent="0.2">
      <c r="A35" s="5" t="s">
        <v>35</v>
      </c>
      <c r="B35" s="5">
        <v>15464</v>
      </c>
      <c r="C35" s="5">
        <v>4622</v>
      </c>
      <c r="D35" s="5">
        <v>68</v>
      </c>
      <c r="E35" s="5">
        <v>0.44</v>
      </c>
      <c r="F35" s="5">
        <v>3.3</v>
      </c>
      <c r="G35" s="5">
        <v>165</v>
      </c>
      <c r="H35" s="5">
        <v>10.67</v>
      </c>
      <c r="I35" s="5">
        <v>0</v>
      </c>
      <c r="J35" s="5">
        <v>0</v>
      </c>
      <c r="K35" s="5" t="s">
        <v>4</v>
      </c>
      <c r="L35" s="5" t="s">
        <v>92</v>
      </c>
      <c r="M35" s="5" t="s">
        <v>91</v>
      </c>
      <c r="N35" s="5" t="s">
        <v>38</v>
      </c>
      <c r="O35" s="5">
        <v>4622</v>
      </c>
      <c r="P35" s="5" t="s">
        <v>29</v>
      </c>
      <c r="Q35" s="5" t="s">
        <v>30</v>
      </c>
      <c r="R35" s="5" t="s">
        <v>31</v>
      </c>
      <c r="S35" s="5" t="s">
        <v>32</v>
      </c>
      <c r="T35" s="5" t="s">
        <v>33</v>
      </c>
    </row>
    <row r="36" spans="1:20" ht="15.75" customHeight="1" x14ac:dyDescent="0.2">
      <c r="A36" s="5" t="s">
        <v>39</v>
      </c>
      <c r="B36" s="5">
        <v>59998</v>
      </c>
      <c r="C36" s="5">
        <v>14493</v>
      </c>
      <c r="D36" s="5">
        <v>267</v>
      </c>
      <c r="E36" s="5">
        <v>0.45</v>
      </c>
      <c r="F36" s="5">
        <v>4.0999999999999996</v>
      </c>
      <c r="G36" s="5">
        <v>592</v>
      </c>
      <c r="H36" s="5">
        <v>9.8699999999999992</v>
      </c>
      <c r="I36" s="5">
        <v>0</v>
      </c>
      <c r="J36" s="5">
        <v>0</v>
      </c>
      <c r="K36" s="5" t="s">
        <v>4</v>
      </c>
      <c r="L36" s="5" t="s">
        <v>92</v>
      </c>
      <c r="M36" s="5" t="s">
        <v>90</v>
      </c>
      <c r="N36" s="5" t="s">
        <v>39</v>
      </c>
      <c r="O36" s="5">
        <v>14493</v>
      </c>
      <c r="P36" s="5" t="s">
        <v>29</v>
      </c>
      <c r="Q36" s="5" t="s">
        <v>30</v>
      </c>
      <c r="R36" s="5" t="s">
        <v>31</v>
      </c>
      <c r="S36" s="5" t="s">
        <v>32</v>
      </c>
      <c r="T36" s="5" t="s">
        <v>33</v>
      </c>
    </row>
    <row r="37" spans="1:20" ht="15.75" customHeight="1" x14ac:dyDescent="0.2">
      <c r="A37" s="5" t="s">
        <v>35</v>
      </c>
      <c r="B37" s="5">
        <v>59998</v>
      </c>
      <c r="C37" s="5">
        <v>14493</v>
      </c>
      <c r="D37" s="5">
        <v>267</v>
      </c>
      <c r="E37" s="5">
        <v>0.45</v>
      </c>
      <c r="F37" s="5">
        <v>4.0999999999999996</v>
      </c>
      <c r="G37" s="5">
        <v>592</v>
      </c>
      <c r="H37" s="5">
        <v>9.8699999999999992</v>
      </c>
      <c r="I37" s="5">
        <v>0</v>
      </c>
      <c r="J37" s="5">
        <v>0</v>
      </c>
      <c r="K37" s="5" t="s">
        <v>4</v>
      </c>
      <c r="L37" s="5" t="s">
        <v>92</v>
      </c>
      <c r="M37" s="5" t="s">
        <v>91</v>
      </c>
      <c r="N37" s="5" t="s">
        <v>39</v>
      </c>
      <c r="O37" s="5">
        <v>14493</v>
      </c>
      <c r="P37" s="5" t="s">
        <v>29</v>
      </c>
      <c r="Q37" s="5" t="s">
        <v>30</v>
      </c>
      <c r="R37" s="5" t="s">
        <v>31</v>
      </c>
      <c r="S37" s="5" t="s">
        <v>32</v>
      </c>
      <c r="T37" s="5" t="s">
        <v>33</v>
      </c>
    </row>
    <row r="38" spans="1:20" ht="15.75" customHeight="1" x14ac:dyDescent="0.2">
      <c r="A38" s="5" t="s">
        <v>40</v>
      </c>
      <c r="B38" s="5">
        <v>56771</v>
      </c>
      <c r="C38" s="5">
        <v>15559</v>
      </c>
      <c r="D38" s="5">
        <v>245</v>
      </c>
      <c r="E38" s="5">
        <v>0.43</v>
      </c>
      <c r="F38" s="5">
        <v>3.6</v>
      </c>
      <c r="G38" s="5">
        <v>561</v>
      </c>
      <c r="H38" s="5">
        <v>9.8800000000000008</v>
      </c>
      <c r="I38" s="5">
        <v>1</v>
      </c>
      <c r="J38" s="5">
        <v>55.2</v>
      </c>
      <c r="K38" s="5" t="s">
        <v>4</v>
      </c>
      <c r="L38" s="5" t="s">
        <v>92</v>
      </c>
      <c r="M38" s="5" t="s">
        <v>90</v>
      </c>
      <c r="N38" s="5" t="s">
        <v>40</v>
      </c>
      <c r="O38" s="5">
        <v>15559</v>
      </c>
      <c r="P38" s="5" t="s">
        <v>29</v>
      </c>
      <c r="Q38" s="5" t="s">
        <v>30</v>
      </c>
      <c r="R38" s="5" t="s">
        <v>31</v>
      </c>
      <c r="S38" s="5" t="s">
        <v>32</v>
      </c>
      <c r="T38" s="5" t="s">
        <v>33</v>
      </c>
    </row>
    <row r="39" spans="1:20" ht="15.75" customHeight="1" x14ac:dyDescent="0.2">
      <c r="A39" s="5" t="s">
        <v>35</v>
      </c>
      <c r="B39" s="5">
        <v>56771</v>
      </c>
      <c r="C39" s="5">
        <v>15559</v>
      </c>
      <c r="D39" s="5">
        <v>245</v>
      </c>
      <c r="E39" s="5">
        <v>0.43</v>
      </c>
      <c r="F39" s="5">
        <v>3.6</v>
      </c>
      <c r="G39" s="5">
        <v>561</v>
      </c>
      <c r="H39" s="5">
        <v>9.8800000000000008</v>
      </c>
      <c r="I39" s="5">
        <v>1</v>
      </c>
      <c r="J39" s="5">
        <v>55.2</v>
      </c>
      <c r="K39" s="5" t="s">
        <v>4</v>
      </c>
      <c r="L39" s="5" t="s">
        <v>92</v>
      </c>
      <c r="M39" s="5" t="s">
        <v>91</v>
      </c>
      <c r="N39" s="5" t="s">
        <v>40</v>
      </c>
      <c r="O39" s="5">
        <v>15559</v>
      </c>
      <c r="P39" s="5" t="s">
        <v>29</v>
      </c>
      <c r="Q39" s="5" t="s">
        <v>30</v>
      </c>
      <c r="R39" s="5" t="s">
        <v>31</v>
      </c>
      <c r="S39" s="5" t="s">
        <v>32</v>
      </c>
      <c r="T39" s="5" t="s">
        <v>33</v>
      </c>
    </row>
    <row r="40" spans="1:20" ht="15.75" customHeight="1" x14ac:dyDescent="0.2">
      <c r="A40" s="5" t="s">
        <v>41</v>
      </c>
      <c r="B40" s="5">
        <v>39318</v>
      </c>
      <c r="C40" s="5">
        <v>10221</v>
      </c>
      <c r="D40" s="5">
        <v>193</v>
      </c>
      <c r="E40" s="5">
        <v>0.49</v>
      </c>
      <c r="F40" s="5">
        <v>3.8</v>
      </c>
      <c r="G40" s="5">
        <v>466</v>
      </c>
      <c r="H40" s="5">
        <v>11.85</v>
      </c>
      <c r="I40" s="5">
        <v>0</v>
      </c>
      <c r="J40" s="5">
        <v>0</v>
      </c>
      <c r="K40" s="5" t="s">
        <v>4</v>
      </c>
      <c r="L40" s="5" t="s">
        <v>92</v>
      </c>
      <c r="M40" s="5" t="s">
        <v>90</v>
      </c>
      <c r="N40" s="5" t="s">
        <v>41</v>
      </c>
      <c r="O40" s="5">
        <v>10221</v>
      </c>
      <c r="P40" s="5" t="s">
        <v>29</v>
      </c>
      <c r="Q40" s="5" t="s">
        <v>30</v>
      </c>
      <c r="R40" s="5" t="s">
        <v>31</v>
      </c>
      <c r="S40" s="5" t="s">
        <v>32</v>
      </c>
      <c r="T40" s="5" t="s">
        <v>33</v>
      </c>
    </row>
    <row r="41" spans="1:20" ht="15.75" customHeight="1" x14ac:dyDescent="0.2">
      <c r="A41" s="5" t="s">
        <v>35</v>
      </c>
      <c r="B41" s="5">
        <v>39318</v>
      </c>
      <c r="C41" s="5">
        <v>10221</v>
      </c>
      <c r="D41" s="5">
        <v>193</v>
      </c>
      <c r="E41" s="5">
        <v>0.49</v>
      </c>
      <c r="F41" s="5">
        <v>3.8</v>
      </c>
      <c r="G41" s="5">
        <v>466</v>
      </c>
      <c r="H41" s="5">
        <v>11.85</v>
      </c>
      <c r="I41" s="5">
        <v>0</v>
      </c>
      <c r="J41" s="5">
        <v>0</v>
      </c>
      <c r="K41" s="5" t="s">
        <v>4</v>
      </c>
      <c r="L41" s="5" t="s">
        <v>92</v>
      </c>
      <c r="M41" s="5" t="s">
        <v>91</v>
      </c>
      <c r="N41" s="5" t="s">
        <v>41</v>
      </c>
      <c r="O41" s="5">
        <v>10221</v>
      </c>
      <c r="P41" s="5" t="s">
        <v>29</v>
      </c>
      <c r="Q41" s="5" t="s">
        <v>30</v>
      </c>
      <c r="R41" s="5" t="s">
        <v>31</v>
      </c>
      <c r="S41" s="5" t="s">
        <v>32</v>
      </c>
      <c r="T41" s="5" t="s">
        <v>33</v>
      </c>
    </row>
    <row r="42" spans="1:20" ht="15.75" customHeight="1" x14ac:dyDescent="0.2">
      <c r="A42" s="5" t="s">
        <v>42</v>
      </c>
      <c r="B42" s="5">
        <v>172808</v>
      </c>
      <c r="C42" s="5">
        <v>5415</v>
      </c>
      <c r="D42" s="5">
        <v>687</v>
      </c>
      <c r="E42" s="5">
        <v>0.4</v>
      </c>
      <c r="F42" s="5">
        <v>31.9</v>
      </c>
      <c r="G42" s="5">
        <v>2428</v>
      </c>
      <c r="H42" s="5">
        <v>14.05</v>
      </c>
      <c r="I42" s="5">
        <v>13</v>
      </c>
      <c r="J42" s="5">
        <v>626.02</v>
      </c>
      <c r="K42" s="5" t="s">
        <v>4</v>
      </c>
      <c r="L42" s="5" t="s">
        <v>92</v>
      </c>
      <c r="M42" s="5" t="s">
        <v>90</v>
      </c>
      <c r="N42" s="5" t="s">
        <v>42</v>
      </c>
      <c r="O42" s="5">
        <v>5415</v>
      </c>
      <c r="P42" s="5" t="s">
        <v>29</v>
      </c>
      <c r="Q42" s="5" t="s">
        <v>30</v>
      </c>
      <c r="R42" s="5" t="s">
        <v>31</v>
      </c>
      <c r="S42" s="5" t="s">
        <v>32</v>
      </c>
      <c r="T42" s="5" t="s">
        <v>33</v>
      </c>
    </row>
    <row r="43" spans="1:20" ht="15.75" customHeight="1" x14ac:dyDescent="0.2">
      <c r="A43" s="5" t="s">
        <v>35</v>
      </c>
      <c r="B43" s="5">
        <v>172808</v>
      </c>
      <c r="C43" s="5">
        <v>5415</v>
      </c>
      <c r="D43" s="5">
        <v>687</v>
      </c>
      <c r="E43" s="5">
        <v>0.4</v>
      </c>
      <c r="F43" s="5">
        <v>31.9</v>
      </c>
      <c r="G43" s="5">
        <v>2428</v>
      </c>
      <c r="H43" s="5">
        <v>14.05</v>
      </c>
      <c r="I43" s="5">
        <v>13</v>
      </c>
      <c r="J43" s="5">
        <v>626.02</v>
      </c>
      <c r="K43" s="5" t="s">
        <v>4</v>
      </c>
      <c r="L43" s="5" t="s">
        <v>92</v>
      </c>
      <c r="M43" s="5" t="s">
        <v>91</v>
      </c>
      <c r="N43" s="5" t="s">
        <v>42</v>
      </c>
      <c r="O43" s="5">
        <v>5415</v>
      </c>
      <c r="P43" s="5" t="s">
        <v>29</v>
      </c>
      <c r="Q43" s="5" t="s">
        <v>30</v>
      </c>
      <c r="R43" s="5" t="s">
        <v>31</v>
      </c>
      <c r="S43" s="5" t="s">
        <v>32</v>
      </c>
      <c r="T43" s="5" t="s">
        <v>33</v>
      </c>
    </row>
    <row r="44" spans="1:20" ht="15.75" customHeight="1" x14ac:dyDescent="0.2">
      <c r="A44" s="5" t="s">
        <v>43</v>
      </c>
      <c r="B44" s="5">
        <v>5736</v>
      </c>
      <c r="C44" s="5">
        <v>1446</v>
      </c>
      <c r="D44" s="5">
        <v>29</v>
      </c>
      <c r="E44" s="5">
        <v>0.51</v>
      </c>
      <c r="F44" s="5">
        <v>4</v>
      </c>
      <c r="G44" s="5">
        <v>68</v>
      </c>
      <c r="H44" s="5">
        <v>11.85</v>
      </c>
      <c r="I44" s="5">
        <v>0</v>
      </c>
      <c r="J44" s="5">
        <v>0</v>
      </c>
      <c r="K44" s="5" t="s">
        <v>4</v>
      </c>
      <c r="L44" s="5" t="s">
        <v>92</v>
      </c>
      <c r="M44" s="5" t="s">
        <v>90</v>
      </c>
      <c r="N44" s="5" t="s">
        <v>43</v>
      </c>
      <c r="O44" s="5">
        <v>1446</v>
      </c>
      <c r="P44" s="5" t="s">
        <v>29</v>
      </c>
      <c r="Q44" s="5" t="s">
        <v>30</v>
      </c>
      <c r="R44" s="5" t="s">
        <v>31</v>
      </c>
      <c r="S44" s="5" t="s">
        <v>32</v>
      </c>
      <c r="T44" s="5" t="s">
        <v>33</v>
      </c>
    </row>
    <row r="45" spans="1:20" ht="15.75" customHeight="1" x14ac:dyDescent="0.2">
      <c r="A45" s="5" t="s">
        <v>35</v>
      </c>
      <c r="B45" s="5">
        <v>5736</v>
      </c>
      <c r="C45" s="5">
        <v>1446</v>
      </c>
      <c r="D45" s="5">
        <v>29</v>
      </c>
      <c r="E45" s="5">
        <v>0.51</v>
      </c>
      <c r="F45" s="5">
        <v>4</v>
      </c>
      <c r="G45" s="5">
        <v>68</v>
      </c>
      <c r="H45" s="5">
        <v>11.85</v>
      </c>
      <c r="I45" s="5">
        <v>0</v>
      </c>
      <c r="J45" s="5">
        <v>0</v>
      </c>
      <c r="K45" s="5" t="s">
        <v>4</v>
      </c>
      <c r="L45" s="5" t="s">
        <v>92</v>
      </c>
      <c r="M45" s="5" t="s">
        <v>91</v>
      </c>
      <c r="N45" s="5" t="s">
        <v>43</v>
      </c>
      <c r="O45" s="5">
        <v>1446</v>
      </c>
      <c r="P45" s="5" t="s">
        <v>29</v>
      </c>
      <c r="Q45" s="5" t="s">
        <v>30</v>
      </c>
      <c r="R45" s="5" t="s">
        <v>31</v>
      </c>
      <c r="S45" s="5" t="s">
        <v>32</v>
      </c>
      <c r="T45" s="5" t="s">
        <v>33</v>
      </c>
    </row>
    <row r="46" spans="1:20" ht="15.75" customHeight="1" x14ac:dyDescent="0.2">
      <c r="A46" s="5" t="s">
        <v>44</v>
      </c>
      <c r="B46" s="5">
        <v>1791</v>
      </c>
      <c r="C46" s="5">
        <v>514</v>
      </c>
      <c r="D46" s="5">
        <v>12</v>
      </c>
      <c r="E46" s="5">
        <v>0.67</v>
      </c>
      <c r="F46" s="5">
        <v>3.5</v>
      </c>
      <c r="G46" s="5">
        <v>20</v>
      </c>
      <c r="H46" s="5">
        <v>11.17</v>
      </c>
      <c r="I46" s="5">
        <v>0</v>
      </c>
      <c r="J46" s="5">
        <v>0</v>
      </c>
      <c r="K46" s="5" t="s">
        <v>4</v>
      </c>
      <c r="L46" s="5" t="s">
        <v>92</v>
      </c>
      <c r="M46" s="5" t="s">
        <v>90</v>
      </c>
      <c r="N46" s="5" t="s">
        <v>44</v>
      </c>
      <c r="O46" s="5">
        <v>514</v>
      </c>
      <c r="P46" s="5" t="s">
        <v>29</v>
      </c>
      <c r="Q46" s="5" t="s">
        <v>30</v>
      </c>
      <c r="R46" s="5" t="s">
        <v>31</v>
      </c>
      <c r="S46" s="5" t="s">
        <v>32</v>
      </c>
      <c r="T46" s="5" t="s">
        <v>33</v>
      </c>
    </row>
    <row r="47" spans="1:20" ht="15.75" customHeight="1" x14ac:dyDescent="0.2">
      <c r="A47" s="5" t="s">
        <v>35</v>
      </c>
      <c r="B47" s="5">
        <v>1791</v>
      </c>
      <c r="C47" s="5">
        <v>514</v>
      </c>
      <c r="D47" s="5">
        <v>12</v>
      </c>
      <c r="E47" s="5">
        <v>0.67</v>
      </c>
      <c r="F47" s="5">
        <v>3.5</v>
      </c>
      <c r="G47" s="5">
        <v>20</v>
      </c>
      <c r="H47" s="5">
        <v>11.17</v>
      </c>
      <c r="I47" s="5">
        <v>0</v>
      </c>
      <c r="J47" s="5">
        <v>0</v>
      </c>
      <c r="K47" s="5" t="s">
        <v>4</v>
      </c>
      <c r="L47" s="5" t="s">
        <v>92</v>
      </c>
      <c r="M47" s="5" t="s">
        <v>91</v>
      </c>
      <c r="N47" s="5" t="s">
        <v>44</v>
      </c>
      <c r="O47" s="5">
        <v>514</v>
      </c>
      <c r="P47" s="5" t="s">
        <v>29</v>
      </c>
      <c r="Q47" s="5" t="s">
        <v>30</v>
      </c>
      <c r="R47" s="5" t="s">
        <v>31</v>
      </c>
      <c r="S47" s="5" t="s">
        <v>32</v>
      </c>
      <c r="T47" s="5" t="s">
        <v>33</v>
      </c>
    </row>
    <row r="48" spans="1:20" ht="15.75" customHeight="1" x14ac:dyDescent="0.2">
      <c r="A48" s="5" t="s">
        <v>45</v>
      </c>
      <c r="B48" s="5">
        <v>5748</v>
      </c>
      <c r="C48" s="5">
        <v>1600</v>
      </c>
      <c r="D48" s="5">
        <v>25</v>
      </c>
      <c r="E48" s="5">
        <v>0.43</v>
      </c>
      <c r="F48" s="5">
        <v>3.6</v>
      </c>
      <c r="G48" s="5">
        <v>59</v>
      </c>
      <c r="H48" s="5">
        <v>10.26</v>
      </c>
      <c r="I48" s="5">
        <v>0</v>
      </c>
      <c r="J48" s="5">
        <v>0</v>
      </c>
      <c r="K48" s="5" t="s">
        <v>4</v>
      </c>
      <c r="L48" s="5" t="s">
        <v>92</v>
      </c>
      <c r="M48" s="5" t="s">
        <v>90</v>
      </c>
      <c r="N48" s="5" t="s">
        <v>45</v>
      </c>
      <c r="O48" s="5">
        <v>1600</v>
      </c>
      <c r="P48" s="5" t="s">
        <v>29</v>
      </c>
      <c r="Q48" s="5" t="s">
        <v>30</v>
      </c>
      <c r="R48" s="5" t="s">
        <v>31</v>
      </c>
      <c r="S48" s="5" t="s">
        <v>32</v>
      </c>
      <c r="T48" s="5" t="s">
        <v>33</v>
      </c>
    </row>
    <row r="49" spans="1:20" ht="15.75" customHeight="1" x14ac:dyDescent="0.2">
      <c r="A49" s="5" t="s">
        <v>35</v>
      </c>
      <c r="B49" s="5">
        <v>5748</v>
      </c>
      <c r="C49" s="5">
        <v>1600</v>
      </c>
      <c r="D49" s="5">
        <v>25</v>
      </c>
      <c r="E49" s="5">
        <v>0.43</v>
      </c>
      <c r="F49" s="5">
        <v>3.6</v>
      </c>
      <c r="G49" s="5">
        <v>59</v>
      </c>
      <c r="H49" s="5">
        <v>10.26</v>
      </c>
      <c r="I49" s="5">
        <v>0</v>
      </c>
      <c r="J49" s="5">
        <v>0</v>
      </c>
      <c r="K49" s="5" t="s">
        <v>4</v>
      </c>
      <c r="L49" s="5" t="s">
        <v>92</v>
      </c>
      <c r="M49" s="5" t="s">
        <v>91</v>
      </c>
      <c r="N49" s="5" t="s">
        <v>45</v>
      </c>
      <c r="O49" s="5">
        <v>1600</v>
      </c>
      <c r="P49" s="5" t="s">
        <v>29</v>
      </c>
      <c r="Q49" s="5" t="s">
        <v>30</v>
      </c>
      <c r="R49" s="5" t="s">
        <v>31</v>
      </c>
      <c r="S49" s="5" t="s">
        <v>32</v>
      </c>
      <c r="T49" s="5" t="s">
        <v>33</v>
      </c>
    </row>
    <row r="50" spans="1:20" ht="15.75" customHeight="1" x14ac:dyDescent="0.2">
      <c r="A50" s="5" t="s">
        <v>46</v>
      </c>
      <c r="B50" s="5">
        <v>2634</v>
      </c>
      <c r="C50" s="5">
        <v>635</v>
      </c>
      <c r="D50" s="5">
        <v>13</v>
      </c>
      <c r="E50" s="5">
        <v>0.49</v>
      </c>
      <c r="F50" s="5">
        <v>4.0999999999999996</v>
      </c>
      <c r="G50" s="5">
        <v>30</v>
      </c>
      <c r="H50" s="5">
        <v>11.39</v>
      </c>
      <c r="I50" s="5">
        <v>0</v>
      </c>
      <c r="J50" s="5">
        <v>0</v>
      </c>
      <c r="K50" s="5" t="s">
        <v>4</v>
      </c>
      <c r="L50" s="5" t="s">
        <v>92</v>
      </c>
      <c r="M50" s="5" t="s">
        <v>90</v>
      </c>
      <c r="N50" s="5" t="s">
        <v>46</v>
      </c>
      <c r="O50" s="5">
        <v>635</v>
      </c>
      <c r="P50" s="5" t="s">
        <v>29</v>
      </c>
      <c r="Q50" s="5" t="s">
        <v>30</v>
      </c>
      <c r="R50" s="5" t="s">
        <v>31</v>
      </c>
      <c r="S50" s="5" t="s">
        <v>32</v>
      </c>
      <c r="T50" s="5" t="s">
        <v>33</v>
      </c>
    </row>
    <row r="51" spans="1:20" ht="15.75" customHeight="1" x14ac:dyDescent="0.2">
      <c r="A51" s="5" t="s">
        <v>35</v>
      </c>
      <c r="B51" s="5">
        <v>2634</v>
      </c>
      <c r="C51" s="5">
        <v>635</v>
      </c>
      <c r="D51" s="5">
        <v>13</v>
      </c>
      <c r="E51" s="5">
        <v>0.49</v>
      </c>
      <c r="F51" s="5">
        <v>4.0999999999999996</v>
      </c>
      <c r="G51" s="5">
        <v>30</v>
      </c>
      <c r="H51" s="5">
        <v>11.39</v>
      </c>
      <c r="I51" s="5">
        <v>0</v>
      </c>
      <c r="J51" s="5">
        <v>0</v>
      </c>
      <c r="K51" s="5" t="s">
        <v>4</v>
      </c>
      <c r="L51" s="5" t="s">
        <v>92</v>
      </c>
      <c r="M51" s="5" t="s">
        <v>91</v>
      </c>
      <c r="N51" s="5" t="s">
        <v>46</v>
      </c>
      <c r="O51" s="5">
        <v>635</v>
      </c>
      <c r="P51" s="5" t="s">
        <v>29</v>
      </c>
      <c r="Q51" s="5" t="s">
        <v>30</v>
      </c>
      <c r="R51" s="5" t="s">
        <v>31</v>
      </c>
      <c r="S51" s="5" t="s">
        <v>32</v>
      </c>
      <c r="T51" s="5" t="s">
        <v>33</v>
      </c>
    </row>
    <row r="52" spans="1:20" ht="15.75" customHeight="1" x14ac:dyDescent="0.2">
      <c r="A52" s="5" t="s">
        <v>87</v>
      </c>
      <c r="B52" s="5">
        <v>1713442</v>
      </c>
      <c r="C52" s="5">
        <v>186485</v>
      </c>
      <c r="D52" s="5">
        <v>6184</v>
      </c>
      <c r="E52" s="5">
        <v>0.36</v>
      </c>
      <c r="F52" s="5">
        <v>9.1999999999999993</v>
      </c>
      <c r="G52" s="5">
        <v>17600</v>
      </c>
      <c r="H52" s="5">
        <v>10.27</v>
      </c>
      <c r="I52" s="5">
        <v>4</v>
      </c>
      <c r="J52" s="5">
        <v>474.6</v>
      </c>
      <c r="K52" s="5" t="s">
        <v>93</v>
      </c>
      <c r="L52" s="5" t="s">
        <v>88</v>
      </c>
      <c r="M52" s="5" t="s">
        <v>89</v>
      </c>
      <c r="N52" s="5" t="s">
        <v>87</v>
      </c>
      <c r="O52" s="5">
        <v>186485</v>
      </c>
      <c r="P52" s="5" t="s">
        <v>29</v>
      </c>
      <c r="Q52" s="5" t="s">
        <v>30</v>
      </c>
      <c r="R52" s="5" t="s">
        <v>31</v>
      </c>
      <c r="S52" s="5" t="s">
        <v>32</v>
      </c>
      <c r="T52" s="5" t="s">
        <v>33</v>
      </c>
    </row>
    <row r="53" spans="1:20" ht="15.75" customHeight="1" x14ac:dyDescent="0.2">
      <c r="A53" s="5" t="s">
        <v>34</v>
      </c>
      <c r="B53" s="5">
        <v>649111</v>
      </c>
      <c r="C53" s="5">
        <v>93284</v>
      </c>
      <c r="D53" s="5">
        <v>2146</v>
      </c>
      <c r="E53" s="5">
        <v>0.33</v>
      </c>
      <c r="F53" s="5">
        <v>7</v>
      </c>
      <c r="G53" s="5">
        <v>5714</v>
      </c>
      <c r="H53" s="5">
        <v>8.8000000000000007</v>
      </c>
      <c r="I53" s="5">
        <v>0</v>
      </c>
      <c r="J53" s="5">
        <v>0</v>
      </c>
      <c r="K53" s="5" t="s">
        <v>93</v>
      </c>
      <c r="L53" s="5" t="s">
        <v>88</v>
      </c>
      <c r="M53" s="5" t="s">
        <v>90</v>
      </c>
      <c r="N53" s="5" t="s">
        <v>34</v>
      </c>
      <c r="O53" s="5">
        <v>93284</v>
      </c>
      <c r="P53" s="5" t="s">
        <v>29</v>
      </c>
      <c r="Q53" s="5" t="s">
        <v>30</v>
      </c>
      <c r="R53" s="5" t="s">
        <v>31</v>
      </c>
      <c r="S53" s="5" t="s">
        <v>32</v>
      </c>
      <c r="T53" s="5" t="s">
        <v>33</v>
      </c>
    </row>
    <row r="54" spans="1:20" ht="15.75" customHeight="1" x14ac:dyDescent="0.2">
      <c r="A54" s="5" t="s">
        <v>35</v>
      </c>
      <c r="B54" s="5">
        <v>649111</v>
      </c>
      <c r="C54" s="5">
        <v>93284</v>
      </c>
      <c r="D54" s="5">
        <v>2146</v>
      </c>
      <c r="E54" s="5">
        <v>0.33</v>
      </c>
      <c r="F54" s="5">
        <v>7</v>
      </c>
      <c r="G54" s="5">
        <v>5714</v>
      </c>
      <c r="H54" s="5">
        <v>8.8000000000000007</v>
      </c>
      <c r="I54" s="5">
        <v>0</v>
      </c>
      <c r="J54" s="5">
        <v>0</v>
      </c>
      <c r="K54" s="5" t="s">
        <v>93</v>
      </c>
      <c r="L54" s="5" t="s">
        <v>88</v>
      </c>
      <c r="M54" s="5" t="s">
        <v>91</v>
      </c>
      <c r="N54" s="5" t="s">
        <v>34</v>
      </c>
      <c r="O54" s="5">
        <v>93284</v>
      </c>
      <c r="P54" s="5" t="s">
        <v>29</v>
      </c>
      <c r="Q54" s="5" t="s">
        <v>30</v>
      </c>
      <c r="R54" s="5" t="s">
        <v>31</v>
      </c>
      <c r="S54" s="5" t="s">
        <v>32</v>
      </c>
      <c r="T54" s="5" t="s">
        <v>33</v>
      </c>
    </row>
    <row r="55" spans="1:20" ht="15.75" customHeight="1" x14ac:dyDescent="0.2">
      <c r="A55" s="5" t="s">
        <v>36</v>
      </c>
      <c r="B55" s="5">
        <v>217976</v>
      </c>
      <c r="C55" s="5">
        <v>7453</v>
      </c>
      <c r="D55" s="5">
        <v>884</v>
      </c>
      <c r="E55" s="5">
        <v>0.41</v>
      </c>
      <c r="F55" s="5">
        <v>29.2</v>
      </c>
      <c r="G55" s="5">
        <v>3211</v>
      </c>
      <c r="H55" s="5">
        <v>14.73</v>
      </c>
      <c r="I55" s="5">
        <v>4</v>
      </c>
      <c r="J55" s="5">
        <v>474.6</v>
      </c>
      <c r="K55" s="5" t="s">
        <v>93</v>
      </c>
      <c r="L55" s="5" t="s">
        <v>88</v>
      </c>
      <c r="M55" s="5" t="s">
        <v>90</v>
      </c>
      <c r="N55" s="5" t="s">
        <v>36</v>
      </c>
      <c r="O55" s="5">
        <v>7453</v>
      </c>
      <c r="P55" s="5" t="s">
        <v>29</v>
      </c>
      <c r="Q55" s="5" t="s">
        <v>30</v>
      </c>
      <c r="R55" s="5" t="s">
        <v>31</v>
      </c>
      <c r="S55" s="5" t="s">
        <v>32</v>
      </c>
      <c r="T55" s="5" t="s">
        <v>33</v>
      </c>
    </row>
    <row r="56" spans="1:20" ht="15.75" customHeight="1" x14ac:dyDescent="0.2">
      <c r="A56" s="5" t="s">
        <v>35</v>
      </c>
      <c r="B56" s="5">
        <v>217976</v>
      </c>
      <c r="C56" s="5">
        <v>7453</v>
      </c>
      <c r="D56" s="5">
        <v>884</v>
      </c>
      <c r="E56" s="5">
        <v>0.41</v>
      </c>
      <c r="F56" s="5">
        <v>29.2</v>
      </c>
      <c r="G56" s="5">
        <v>3211</v>
      </c>
      <c r="H56" s="5">
        <v>14.73</v>
      </c>
      <c r="I56" s="5">
        <v>4</v>
      </c>
      <c r="J56" s="5">
        <v>474.6</v>
      </c>
      <c r="K56" s="5" t="s">
        <v>93</v>
      </c>
      <c r="L56" s="5" t="s">
        <v>88</v>
      </c>
      <c r="M56" s="5" t="s">
        <v>91</v>
      </c>
      <c r="N56" s="5" t="s">
        <v>36</v>
      </c>
      <c r="O56" s="5">
        <v>7453</v>
      </c>
      <c r="P56" s="5" t="s">
        <v>29</v>
      </c>
      <c r="Q56" s="5" t="s">
        <v>30</v>
      </c>
      <c r="R56" s="5" t="s">
        <v>31</v>
      </c>
      <c r="S56" s="5" t="s">
        <v>32</v>
      </c>
      <c r="T56" s="5" t="s">
        <v>33</v>
      </c>
    </row>
    <row r="57" spans="1:20" ht="15.75" customHeight="1" x14ac:dyDescent="0.2">
      <c r="A57" s="5" t="s">
        <v>37</v>
      </c>
      <c r="B57" s="5">
        <v>486087</v>
      </c>
      <c r="C57" s="5">
        <v>64889</v>
      </c>
      <c r="D57" s="5">
        <v>1615</v>
      </c>
      <c r="E57" s="5">
        <v>0.33</v>
      </c>
      <c r="F57" s="5">
        <v>7.5</v>
      </c>
      <c r="G57" s="5">
        <v>4285</v>
      </c>
      <c r="H57" s="5">
        <v>8.82</v>
      </c>
      <c r="I57" s="5">
        <v>0</v>
      </c>
      <c r="J57" s="5">
        <v>0</v>
      </c>
      <c r="K57" s="5" t="s">
        <v>93</v>
      </c>
      <c r="L57" s="5" t="s">
        <v>88</v>
      </c>
      <c r="M57" s="5" t="s">
        <v>90</v>
      </c>
      <c r="N57" s="5" t="s">
        <v>37</v>
      </c>
      <c r="O57" s="5">
        <v>64889</v>
      </c>
      <c r="P57" s="5" t="s">
        <v>29</v>
      </c>
      <c r="Q57" s="5" t="s">
        <v>30</v>
      </c>
      <c r="R57" s="5" t="s">
        <v>31</v>
      </c>
      <c r="S57" s="5" t="s">
        <v>32</v>
      </c>
      <c r="T57" s="5" t="s">
        <v>33</v>
      </c>
    </row>
    <row r="58" spans="1:20" ht="15.75" customHeight="1" x14ac:dyDescent="0.2">
      <c r="A58" s="5" t="s">
        <v>35</v>
      </c>
      <c r="B58" s="5">
        <v>486087</v>
      </c>
      <c r="C58" s="5">
        <v>64889</v>
      </c>
      <c r="D58" s="5">
        <v>1615</v>
      </c>
      <c r="E58" s="5">
        <v>0.33</v>
      </c>
      <c r="F58" s="5">
        <v>7.5</v>
      </c>
      <c r="G58" s="5">
        <v>4285</v>
      </c>
      <c r="H58" s="5">
        <v>8.82</v>
      </c>
      <c r="I58" s="5">
        <v>0</v>
      </c>
      <c r="J58" s="5">
        <v>0</v>
      </c>
      <c r="K58" s="5" t="s">
        <v>93</v>
      </c>
      <c r="L58" s="5" t="s">
        <v>88</v>
      </c>
      <c r="M58" s="5" t="s">
        <v>91</v>
      </c>
      <c r="N58" s="5" t="s">
        <v>37</v>
      </c>
      <c r="O58" s="5">
        <v>64889</v>
      </c>
      <c r="P58" s="5" t="s">
        <v>29</v>
      </c>
      <c r="Q58" s="5" t="s">
        <v>30</v>
      </c>
      <c r="R58" s="5" t="s">
        <v>31</v>
      </c>
      <c r="S58" s="5" t="s">
        <v>32</v>
      </c>
      <c r="T58" s="5" t="s">
        <v>33</v>
      </c>
    </row>
    <row r="59" spans="1:20" ht="15.75" customHeight="1" x14ac:dyDescent="0.2">
      <c r="A59" s="5" t="s">
        <v>38</v>
      </c>
      <c r="B59" s="5">
        <v>15464</v>
      </c>
      <c r="C59" s="5">
        <v>4622</v>
      </c>
      <c r="D59" s="5">
        <v>68</v>
      </c>
      <c r="E59" s="5">
        <v>0.44</v>
      </c>
      <c r="F59" s="5">
        <v>3.3</v>
      </c>
      <c r="G59" s="5">
        <v>165</v>
      </c>
      <c r="H59" s="5">
        <v>10.67</v>
      </c>
      <c r="I59" s="5">
        <v>0</v>
      </c>
      <c r="J59" s="5">
        <v>0</v>
      </c>
      <c r="K59" s="5" t="s">
        <v>93</v>
      </c>
      <c r="L59" s="5" t="s">
        <v>88</v>
      </c>
      <c r="M59" s="5" t="s">
        <v>90</v>
      </c>
      <c r="N59" s="5" t="s">
        <v>38</v>
      </c>
      <c r="O59" s="5">
        <v>4622</v>
      </c>
      <c r="P59" s="5" t="s">
        <v>29</v>
      </c>
      <c r="Q59" s="5" t="s">
        <v>30</v>
      </c>
      <c r="R59" s="5" t="s">
        <v>31</v>
      </c>
      <c r="S59" s="5" t="s">
        <v>32</v>
      </c>
      <c r="T59" s="5" t="s">
        <v>33</v>
      </c>
    </row>
    <row r="60" spans="1:20" ht="15.75" customHeight="1" x14ac:dyDescent="0.2">
      <c r="A60" s="5" t="s">
        <v>35</v>
      </c>
      <c r="B60" s="5">
        <v>15464</v>
      </c>
      <c r="C60" s="5">
        <v>4622</v>
      </c>
      <c r="D60" s="5">
        <v>68</v>
      </c>
      <c r="E60" s="5">
        <v>0.44</v>
      </c>
      <c r="F60" s="5">
        <v>3.3</v>
      </c>
      <c r="G60" s="5">
        <v>165</v>
      </c>
      <c r="H60" s="5">
        <v>10.67</v>
      </c>
      <c r="I60" s="5">
        <v>0</v>
      </c>
      <c r="J60" s="5">
        <v>0</v>
      </c>
      <c r="K60" s="5" t="s">
        <v>93</v>
      </c>
      <c r="L60" s="5" t="s">
        <v>88</v>
      </c>
      <c r="M60" s="5" t="s">
        <v>91</v>
      </c>
      <c r="N60" s="5" t="s">
        <v>38</v>
      </c>
      <c r="O60" s="5">
        <v>4622</v>
      </c>
      <c r="P60" s="5" t="s">
        <v>29</v>
      </c>
      <c r="Q60" s="5" t="s">
        <v>30</v>
      </c>
      <c r="R60" s="5" t="s">
        <v>31</v>
      </c>
      <c r="S60" s="5" t="s">
        <v>32</v>
      </c>
      <c r="T60" s="5" t="s">
        <v>33</v>
      </c>
    </row>
    <row r="61" spans="1:20" ht="15.75" customHeight="1" x14ac:dyDescent="0.2">
      <c r="A61" s="5" t="s">
        <v>39</v>
      </c>
      <c r="B61" s="5">
        <v>59998</v>
      </c>
      <c r="C61" s="5">
        <v>14493</v>
      </c>
      <c r="D61" s="5">
        <v>267</v>
      </c>
      <c r="E61" s="5">
        <v>0.45</v>
      </c>
      <c r="F61" s="5">
        <v>4.0999999999999996</v>
      </c>
      <c r="G61" s="5">
        <v>592</v>
      </c>
      <c r="H61" s="5">
        <v>9.8699999999999992</v>
      </c>
      <c r="I61" s="5">
        <v>0</v>
      </c>
      <c r="J61" s="5">
        <v>0</v>
      </c>
      <c r="K61" s="5" t="s">
        <v>93</v>
      </c>
      <c r="L61" s="5" t="s">
        <v>88</v>
      </c>
      <c r="M61" s="5" t="s">
        <v>90</v>
      </c>
      <c r="N61" s="5" t="s">
        <v>39</v>
      </c>
      <c r="O61" s="5">
        <v>14493</v>
      </c>
      <c r="P61" s="5" t="s">
        <v>29</v>
      </c>
      <c r="Q61" s="5" t="s">
        <v>30</v>
      </c>
      <c r="R61" s="5" t="s">
        <v>31</v>
      </c>
      <c r="S61" s="5" t="s">
        <v>32</v>
      </c>
      <c r="T61" s="5" t="s">
        <v>33</v>
      </c>
    </row>
    <row r="62" spans="1:20" ht="15.75" customHeight="1" x14ac:dyDescent="0.2">
      <c r="A62" s="5" t="s">
        <v>35</v>
      </c>
      <c r="B62" s="5">
        <v>59998</v>
      </c>
      <c r="C62" s="5">
        <v>14493</v>
      </c>
      <c r="D62" s="5">
        <v>267</v>
      </c>
      <c r="E62" s="5">
        <v>0.45</v>
      </c>
      <c r="F62" s="5">
        <v>4.0999999999999996</v>
      </c>
      <c r="G62" s="5">
        <v>592</v>
      </c>
      <c r="H62" s="5">
        <v>9.8699999999999992</v>
      </c>
      <c r="I62" s="5">
        <v>0</v>
      </c>
      <c r="J62" s="5">
        <v>0</v>
      </c>
      <c r="K62" s="5" t="s">
        <v>93</v>
      </c>
      <c r="L62" s="5" t="s">
        <v>88</v>
      </c>
      <c r="M62" s="5" t="s">
        <v>91</v>
      </c>
      <c r="N62" s="5" t="s">
        <v>39</v>
      </c>
      <c r="O62" s="5">
        <v>14493</v>
      </c>
      <c r="P62" s="5" t="s">
        <v>29</v>
      </c>
      <c r="Q62" s="5" t="s">
        <v>30</v>
      </c>
      <c r="R62" s="5" t="s">
        <v>31</v>
      </c>
      <c r="S62" s="5" t="s">
        <v>32</v>
      </c>
      <c r="T62" s="5" t="s">
        <v>33</v>
      </c>
    </row>
    <row r="63" spans="1:20" ht="15.75" customHeight="1" x14ac:dyDescent="0.2">
      <c r="A63" s="5" t="s">
        <v>40</v>
      </c>
      <c r="B63" s="5">
        <v>56771</v>
      </c>
      <c r="C63" s="5">
        <v>15559</v>
      </c>
      <c r="D63" s="5">
        <v>245</v>
      </c>
      <c r="E63" s="5">
        <v>0.43</v>
      </c>
      <c r="F63" s="5">
        <v>3.6</v>
      </c>
      <c r="G63" s="5">
        <v>561</v>
      </c>
      <c r="H63" s="5">
        <v>9.8800000000000008</v>
      </c>
      <c r="I63" s="5">
        <v>0</v>
      </c>
      <c r="J63" s="5">
        <v>0</v>
      </c>
      <c r="K63" s="5" t="s">
        <v>93</v>
      </c>
      <c r="L63" s="5" t="s">
        <v>88</v>
      </c>
      <c r="M63" s="5" t="s">
        <v>90</v>
      </c>
      <c r="N63" s="5" t="s">
        <v>40</v>
      </c>
      <c r="O63" s="5">
        <v>15559</v>
      </c>
      <c r="P63" s="5" t="s">
        <v>29</v>
      </c>
      <c r="Q63" s="5" t="s">
        <v>30</v>
      </c>
      <c r="R63" s="5" t="s">
        <v>31</v>
      </c>
      <c r="S63" s="5" t="s">
        <v>32</v>
      </c>
      <c r="T63" s="5" t="s">
        <v>33</v>
      </c>
    </row>
    <row r="64" spans="1:20" ht="15.75" customHeight="1" x14ac:dyDescent="0.2">
      <c r="A64" s="5" t="s">
        <v>35</v>
      </c>
      <c r="B64" s="5">
        <v>56771</v>
      </c>
      <c r="C64" s="5">
        <v>15559</v>
      </c>
      <c r="D64" s="5">
        <v>245</v>
      </c>
      <c r="E64" s="5">
        <v>0.43</v>
      </c>
      <c r="F64" s="5">
        <v>3.6</v>
      </c>
      <c r="G64" s="5">
        <v>561</v>
      </c>
      <c r="H64" s="5">
        <v>9.8800000000000008</v>
      </c>
      <c r="I64" s="5">
        <v>0</v>
      </c>
      <c r="J64" s="5">
        <v>0</v>
      </c>
      <c r="K64" s="5" t="s">
        <v>93</v>
      </c>
      <c r="L64" s="5" t="s">
        <v>88</v>
      </c>
      <c r="M64" s="5" t="s">
        <v>91</v>
      </c>
      <c r="N64" s="5" t="s">
        <v>40</v>
      </c>
      <c r="O64" s="5">
        <v>15559</v>
      </c>
      <c r="P64" s="5" t="s">
        <v>29</v>
      </c>
      <c r="Q64" s="5" t="s">
        <v>30</v>
      </c>
      <c r="R64" s="5" t="s">
        <v>31</v>
      </c>
      <c r="S64" s="5" t="s">
        <v>32</v>
      </c>
      <c r="T64" s="5" t="s">
        <v>33</v>
      </c>
    </row>
    <row r="65" spans="1:20" ht="15.75" customHeight="1" x14ac:dyDescent="0.2">
      <c r="A65" s="5" t="s">
        <v>41</v>
      </c>
      <c r="B65" s="5">
        <v>39318</v>
      </c>
      <c r="C65" s="5">
        <v>10221</v>
      </c>
      <c r="D65" s="5">
        <v>193</v>
      </c>
      <c r="E65" s="5">
        <v>0.49</v>
      </c>
      <c r="F65" s="5">
        <v>3.8</v>
      </c>
      <c r="G65" s="5">
        <v>466</v>
      </c>
      <c r="H65" s="5">
        <v>11.85</v>
      </c>
      <c r="I65" s="5">
        <v>0</v>
      </c>
      <c r="J65" s="5">
        <v>0</v>
      </c>
      <c r="K65" s="5" t="s">
        <v>93</v>
      </c>
      <c r="L65" s="5" t="s">
        <v>88</v>
      </c>
      <c r="M65" s="5" t="s">
        <v>90</v>
      </c>
      <c r="N65" s="5" t="s">
        <v>41</v>
      </c>
      <c r="O65" s="5">
        <v>10221</v>
      </c>
      <c r="P65" s="5" t="s">
        <v>29</v>
      </c>
      <c r="Q65" s="5" t="s">
        <v>30</v>
      </c>
      <c r="R65" s="5" t="s">
        <v>31</v>
      </c>
      <c r="S65" s="5" t="s">
        <v>32</v>
      </c>
      <c r="T65" s="5" t="s">
        <v>33</v>
      </c>
    </row>
    <row r="66" spans="1:20" ht="15.75" customHeight="1" x14ac:dyDescent="0.2">
      <c r="A66" s="5" t="s">
        <v>35</v>
      </c>
      <c r="B66" s="5">
        <v>39318</v>
      </c>
      <c r="C66" s="5">
        <v>10221</v>
      </c>
      <c r="D66" s="5">
        <v>193</v>
      </c>
      <c r="E66" s="5">
        <v>0.49</v>
      </c>
      <c r="F66" s="5">
        <v>3.8</v>
      </c>
      <c r="G66" s="5">
        <v>466</v>
      </c>
      <c r="H66" s="5">
        <v>11.85</v>
      </c>
      <c r="I66" s="5">
        <v>0</v>
      </c>
      <c r="J66" s="5">
        <v>0</v>
      </c>
      <c r="K66" s="5" t="s">
        <v>93</v>
      </c>
      <c r="L66" s="5" t="s">
        <v>88</v>
      </c>
      <c r="M66" s="5" t="s">
        <v>91</v>
      </c>
      <c r="N66" s="5" t="s">
        <v>41</v>
      </c>
      <c r="O66" s="5">
        <v>10221</v>
      </c>
      <c r="P66" s="5" t="s">
        <v>29</v>
      </c>
      <c r="Q66" s="5" t="s">
        <v>30</v>
      </c>
      <c r="R66" s="5" t="s">
        <v>31</v>
      </c>
      <c r="S66" s="5" t="s">
        <v>32</v>
      </c>
      <c r="T66" s="5" t="s">
        <v>33</v>
      </c>
    </row>
    <row r="67" spans="1:20" ht="15.75" customHeight="1" x14ac:dyDescent="0.2">
      <c r="A67" s="5" t="s">
        <v>42</v>
      </c>
      <c r="B67" s="5">
        <v>172808</v>
      </c>
      <c r="C67" s="5">
        <v>5415</v>
      </c>
      <c r="D67" s="5">
        <v>687</v>
      </c>
      <c r="E67" s="5">
        <v>0.4</v>
      </c>
      <c r="F67" s="5">
        <v>31.9</v>
      </c>
      <c r="G67" s="5">
        <v>2428</v>
      </c>
      <c r="H67" s="5">
        <v>14.05</v>
      </c>
      <c r="I67" s="5">
        <v>0</v>
      </c>
      <c r="J67" s="5">
        <v>0</v>
      </c>
      <c r="K67" s="5" t="s">
        <v>93</v>
      </c>
      <c r="L67" s="5" t="s">
        <v>88</v>
      </c>
      <c r="M67" s="5" t="s">
        <v>90</v>
      </c>
      <c r="N67" s="5" t="s">
        <v>42</v>
      </c>
      <c r="O67" s="5">
        <v>5415</v>
      </c>
      <c r="P67" s="5" t="s">
        <v>29</v>
      </c>
      <c r="Q67" s="5" t="s">
        <v>30</v>
      </c>
      <c r="R67" s="5" t="s">
        <v>31</v>
      </c>
      <c r="S67" s="5" t="s">
        <v>32</v>
      </c>
      <c r="T67" s="5" t="s">
        <v>33</v>
      </c>
    </row>
    <row r="68" spans="1:20" ht="15.75" customHeight="1" x14ac:dyDescent="0.2">
      <c r="A68" s="5" t="s">
        <v>35</v>
      </c>
      <c r="B68" s="5">
        <v>172808</v>
      </c>
      <c r="C68" s="5">
        <v>5415</v>
      </c>
      <c r="D68" s="5">
        <v>687</v>
      </c>
      <c r="E68" s="5">
        <v>0.4</v>
      </c>
      <c r="F68" s="5">
        <v>31.9</v>
      </c>
      <c r="G68" s="5">
        <v>2428</v>
      </c>
      <c r="H68" s="5">
        <v>14.05</v>
      </c>
      <c r="I68" s="5">
        <v>0</v>
      </c>
      <c r="J68" s="5">
        <v>0</v>
      </c>
      <c r="K68" s="5" t="s">
        <v>93</v>
      </c>
      <c r="L68" s="5" t="s">
        <v>88</v>
      </c>
      <c r="M68" s="5" t="s">
        <v>91</v>
      </c>
      <c r="N68" s="5" t="s">
        <v>42</v>
      </c>
      <c r="O68" s="5">
        <v>5415</v>
      </c>
      <c r="P68" s="5" t="s">
        <v>29</v>
      </c>
      <c r="Q68" s="5" t="s">
        <v>30</v>
      </c>
      <c r="R68" s="5" t="s">
        <v>31</v>
      </c>
      <c r="S68" s="5" t="s">
        <v>32</v>
      </c>
      <c r="T68" s="5" t="s">
        <v>33</v>
      </c>
    </row>
    <row r="69" spans="1:20" ht="15.75" customHeight="1" x14ac:dyDescent="0.2">
      <c r="A69" s="5" t="s">
        <v>43</v>
      </c>
      <c r="B69" s="5">
        <v>5736</v>
      </c>
      <c r="C69" s="5">
        <v>1446</v>
      </c>
      <c r="D69" s="5">
        <v>29</v>
      </c>
      <c r="E69" s="5">
        <v>0.51</v>
      </c>
      <c r="F69" s="5">
        <v>4</v>
      </c>
      <c r="G69" s="5">
        <v>68</v>
      </c>
      <c r="H69" s="5">
        <v>11.85</v>
      </c>
      <c r="I69" s="5">
        <v>0</v>
      </c>
      <c r="J69" s="5">
        <v>0</v>
      </c>
      <c r="K69" s="5" t="s">
        <v>93</v>
      </c>
      <c r="L69" s="5" t="s">
        <v>88</v>
      </c>
      <c r="M69" s="5" t="s">
        <v>90</v>
      </c>
      <c r="N69" s="5" t="s">
        <v>43</v>
      </c>
      <c r="O69" s="5">
        <v>1446</v>
      </c>
      <c r="P69" s="5" t="s">
        <v>29</v>
      </c>
      <c r="Q69" s="5" t="s">
        <v>30</v>
      </c>
      <c r="R69" s="5" t="s">
        <v>31</v>
      </c>
      <c r="S69" s="5" t="s">
        <v>32</v>
      </c>
      <c r="T69" s="5" t="s">
        <v>33</v>
      </c>
    </row>
    <row r="70" spans="1:20" ht="15.75" customHeight="1" x14ac:dyDescent="0.2">
      <c r="A70" s="5" t="s">
        <v>35</v>
      </c>
      <c r="B70" s="5">
        <v>5736</v>
      </c>
      <c r="C70" s="5">
        <v>1446</v>
      </c>
      <c r="D70" s="5">
        <v>29</v>
      </c>
      <c r="E70" s="5">
        <v>0.51</v>
      </c>
      <c r="F70" s="5">
        <v>4</v>
      </c>
      <c r="G70" s="5">
        <v>68</v>
      </c>
      <c r="H70" s="5">
        <v>11.85</v>
      </c>
      <c r="I70" s="5">
        <v>0</v>
      </c>
      <c r="J70" s="5">
        <v>0</v>
      </c>
      <c r="K70" s="5" t="s">
        <v>93</v>
      </c>
      <c r="L70" s="5" t="s">
        <v>88</v>
      </c>
      <c r="M70" s="5" t="s">
        <v>91</v>
      </c>
      <c r="N70" s="5" t="s">
        <v>43</v>
      </c>
      <c r="O70" s="5">
        <v>1446</v>
      </c>
      <c r="P70" s="5" t="s">
        <v>29</v>
      </c>
      <c r="Q70" s="5" t="s">
        <v>30</v>
      </c>
      <c r="R70" s="5" t="s">
        <v>31</v>
      </c>
      <c r="S70" s="5" t="s">
        <v>32</v>
      </c>
      <c r="T70" s="5" t="s">
        <v>33</v>
      </c>
    </row>
    <row r="71" spans="1:20" ht="15.75" customHeight="1" x14ac:dyDescent="0.2">
      <c r="A71" s="5" t="s">
        <v>44</v>
      </c>
      <c r="B71" s="5">
        <v>1791</v>
      </c>
      <c r="C71" s="5">
        <v>514</v>
      </c>
      <c r="D71" s="5">
        <v>12</v>
      </c>
      <c r="E71" s="5">
        <v>0.67</v>
      </c>
      <c r="F71" s="5">
        <v>3.5</v>
      </c>
      <c r="G71" s="5">
        <v>20</v>
      </c>
      <c r="H71" s="5">
        <v>11.17</v>
      </c>
      <c r="I71" s="5">
        <v>0</v>
      </c>
      <c r="J71" s="5">
        <v>0</v>
      </c>
      <c r="K71" s="5" t="s">
        <v>93</v>
      </c>
      <c r="L71" s="5" t="s">
        <v>88</v>
      </c>
      <c r="M71" s="5" t="s">
        <v>90</v>
      </c>
      <c r="N71" s="5" t="s">
        <v>44</v>
      </c>
      <c r="O71" s="5">
        <v>514</v>
      </c>
      <c r="P71" s="5" t="s">
        <v>29</v>
      </c>
      <c r="Q71" s="5" t="s">
        <v>30</v>
      </c>
      <c r="R71" s="5" t="s">
        <v>31</v>
      </c>
      <c r="S71" s="5" t="s">
        <v>32</v>
      </c>
      <c r="T71" s="5" t="s">
        <v>33</v>
      </c>
    </row>
    <row r="72" spans="1:20" ht="15.75" customHeight="1" x14ac:dyDescent="0.2">
      <c r="A72" s="5" t="s">
        <v>35</v>
      </c>
      <c r="B72" s="5">
        <v>1791</v>
      </c>
      <c r="C72" s="5">
        <v>514</v>
      </c>
      <c r="D72" s="5">
        <v>12</v>
      </c>
      <c r="E72" s="5">
        <v>0.67</v>
      </c>
      <c r="F72" s="5">
        <v>3.5</v>
      </c>
      <c r="G72" s="5">
        <v>20</v>
      </c>
      <c r="H72" s="5">
        <v>11.17</v>
      </c>
      <c r="I72" s="5">
        <v>0</v>
      </c>
      <c r="J72" s="5">
        <v>0</v>
      </c>
      <c r="K72" s="5" t="s">
        <v>93</v>
      </c>
      <c r="L72" s="5" t="s">
        <v>88</v>
      </c>
      <c r="M72" s="5" t="s">
        <v>91</v>
      </c>
      <c r="N72" s="5" t="s">
        <v>44</v>
      </c>
      <c r="O72" s="5">
        <v>514</v>
      </c>
      <c r="P72" s="5" t="s">
        <v>29</v>
      </c>
      <c r="Q72" s="5" t="s">
        <v>30</v>
      </c>
      <c r="R72" s="5" t="s">
        <v>31</v>
      </c>
      <c r="S72" s="5" t="s">
        <v>32</v>
      </c>
      <c r="T72" s="5" t="s">
        <v>33</v>
      </c>
    </row>
    <row r="73" spans="1:20" ht="15.75" customHeight="1" x14ac:dyDescent="0.2">
      <c r="A73" s="5" t="s">
        <v>45</v>
      </c>
      <c r="B73" s="5">
        <v>5748</v>
      </c>
      <c r="C73" s="5">
        <v>1600</v>
      </c>
      <c r="D73" s="5">
        <v>25</v>
      </c>
      <c r="E73" s="5">
        <v>0.43</v>
      </c>
      <c r="F73" s="5">
        <v>3.6</v>
      </c>
      <c r="G73" s="5">
        <v>59</v>
      </c>
      <c r="H73" s="5">
        <v>10.26</v>
      </c>
      <c r="I73" s="5">
        <v>0</v>
      </c>
      <c r="J73" s="5">
        <v>0</v>
      </c>
      <c r="K73" s="5" t="s">
        <v>93</v>
      </c>
      <c r="L73" s="5" t="s">
        <v>88</v>
      </c>
      <c r="M73" s="5" t="s">
        <v>90</v>
      </c>
      <c r="N73" s="5" t="s">
        <v>45</v>
      </c>
      <c r="O73" s="5">
        <v>1600</v>
      </c>
      <c r="P73" s="5" t="s">
        <v>29</v>
      </c>
      <c r="Q73" s="5" t="s">
        <v>30</v>
      </c>
      <c r="R73" s="5" t="s">
        <v>31</v>
      </c>
      <c r="S73" s="5" t="s">
        <v>32</v>
      </c>
      <c r="T73" s="5" t="s">
        <v>33</v>
      </c>
    </row>
    <row r="74" spans="1:20" ht="15.75" customHeight="1" x14ac:dyDescent="0.2">
      <c r="A74" s="5" t="s">
        <v>35</v>
      </c>
      <c r="B74" s="5">
        <v>5748</v>
      </c>
      <c r="C74" s="5">
        <v>1600</v>
      </c>
      <c r="D74" s="5">
        <v>25</v>
      </c>
      <c r="E74" s="5">
        <v>0.43</v>
      </c>
      <c r="F74" s="5">
        <v>3.6</v>
      </c>
      <c r="G74" s="5">
        <v>59</v>
      </c>
      <c r="H74" s="5">
        <v>10.26</v>
      </c>
      <c r="I74" s="5">
        <v>0</v>
      </c>
      <c r="J74" s="5">
        <v>0</v>
      </c>
      <c r="K74" s="5" t="s">
        <v>93</v>
      </c>
      <c r="L74" s="5" t="s">
        <v>88</v>
      </c>
      <c r="M74" s="5" t="s">
        <v>91</v>
      </c>
      <c r="N74" s="5" t="s">
        <v>45</v>
      </c>
      <c r="O74" s="5">
        <v>1600</v>
      </c>
      <c r="P74" s="5" t="s">
        <v>29</v>
      </c>
      <c r="Q74" s="5" t="s">
        <v>30</v>
      </c>
      <c r="R74" s="5" t="s">
        <v>31</v>
      </c>
      <c r="S74" s="5" t="s">
        <v>32</v>
      </c>
      <c r="T74" s="5" t="s">
        <v>33</v>
      </c>
    </row>
    <row r="75" spans="1:20" ht="15.75" customHeight="1" x14ac:dyDescent="0.2">
      <c r="A75" s="5" t="s">
        <v>46</v>
      </c>
      <c r="B75" s="5">
        <v>2634</v>
      </c>
      <c r="C75" s="5">
        <v>635</v>
      </c>
      <c r="D75" s="5">
        <v>13</v>
      </c>
      <c r="E75" s="5">
        <v>0.49</v>
      </c>
      <c r="F75" s="5">
        <v>4.0999999999999996</v>
      </c>
      <c r="G75" s="5">
        <v>30</v>
      </c>
      <c r="H75" s="5">
        <v>11.39</v>
      </c>
      <c r="I75" s="5">
        <v>0</v>
      </c>
      <c r="J75" s="5">
        <v>0</v>
      </c>
      <c r="K75" s="5" t="s">
        <v>93</v>
      </c>
      <c r="L75" s="5" t="s">
        <v>88</v>
      </c>
      <c r="M75" s="5" t="s">
        <v>90</v>
      </c>
      <c r="N75" s="5" t="s">
        <v>46</v>
      </c>
      <c r="O75" s="5">
        <v>635</v>
      </c>
      <c r="P75" s="5" t="s">
        <v>29</v>
      </c>
      <c r="Q75" s="5" t="s">
        <v>30</v>
      </c>
      <c r="R75" s="5" t="s">
        <v>31</v>
      </c>
      <c r="S75" s="5" t="s">
        <v>32</v>
      </c>
      <c r="T75" s="5" t="s">
        <v>33</v>
      </c>
    </row>
    <row r="76" spans="1:20" ht="15.75" customHeight="1" x14ac:dyDescent="0.2">
      <c r="A76" s="5" t="s">
        <v>35</v>
      </c>
      <c r="B76" s="5">
        <v>2634</v>
      </c>
      <c r="C76" s="5">
        <v>635</v>
      </c>
      <c r="D76" s="5">
        <v>13</v>
      </c>
      <c r="E76" s="5">
        <v>0.49</v>
      </c>
      <c r="F76" s="5">
        <v>4.0999999999999996</v>
      </c>
      <c r="G76" s="5">
        <v>30</v>
      </c>
      <c r="H76" s="5">
        <v>11.39</v>
      </c>
      <c r="I76" s="5">
        <v>0</v>
      </c>
      <c r="J76" s="5">
        <v>0</v>
      </c>
      <c r="K76" s="5" t="s">
        <v>93</v>
      </c>
      <c r="L76" s="5" t="s">
        <v>88</v>
      </c>
      <c r="M76" s="5" t="s">
        <v>91</v>
      </c>
      <c r="N76" s="5" t="s">
        <v>46</v>
      </c>
      <c r="O76" s="5">
        <v>635</v>
      </c>
      <c r="P76" s="5" t="s">
        <v>29</v>
      </c>
      <c r="Q76" s="5" t="s">
        <v>30</v>
      </c>
      <c r="R76" s="5" t="s">
        <v>31</v>
      </c>
      <c r="S76" s="5" t="s">
        <v>32</v>
      </c>
      <c r="T76" s="5" t="s">
        <v>33</v>
      </c>
    </row>
    <row r="77" spans="1:20" ht="15.75" customHeight="1" x14ac:dyDescent="0.2">
      <c r="A77" s="5" t="s">
        <v>87</v>
      </c>
      <c r="B77" s="5">
        <v>1713442</v>
      </c>
      <c r="C77" s="5">
        <v>186485</v>
      </c>
      <c r="D77" s="5">
        <v>6184</v>
      </c>
      <c r="E77" s="5">
        <v>0.36</v>
      </c>
      <c r="F77" s="5">
        <v>9.1999999999999993</v>
      </c>
      <c r="G77" s="5">
        <v>17600</v>
      </c>
      <c r="H77" s="5">
        <v>10.27</v>
      </c>
      <c r="I77" s="5">
        <v>9</v>
      </c>
      <c r="J77" s="5">
        <v>578.27</v>
      </c>
      <c r="K77" s="5" t="s">
        <v>93</v>
      </c>
      <c r="L77" s="5" t="s">
        <v>92</v>
      </c>
      <c r="M77" s="5" t="s">
        <v>89</v>
      </c>
      <c r="N77" s="5" t="s">
        <v>87</v>
      </c>
      <c r="O77" s="5">
        <v>186485</v>
      </c>
      <c r="P77" s="5" t="s">
        <v>29</v>
      </c>
      <c r="Q77" s="5" t="s">
        <v>30</v>
      </c>
      <c r="R77" s="5" t="s">
        <v>31</v>
      </c>
      <c r="S77" s="5" t="s">
        <v>32</v>
      </c>
      <c r="T77" s="5" t="s">
        <v>33</v>
      </c>
    </row>
    <row r="78" spans="1:20" ht="15.75" customHeight="1" x14ac:dyDescent="0.2">
      <c r="A78" s="5" t="s">
        <v>34</v>
      </c>
      <c r="B78" s="5">
        <v>649111</v>
      </c>
      <c r="C78" s="5">
        <v>93284</v>
      </c>
      <c r="D78" s="5">
        <v>2146</v>
      </c>
      <c r="E78" s="5">
        <v>0.33</v>
      </c>
      <c r="F78" s="5">
        <v>7</v>
      </c>
      <c r="G78" s="5">
        <v>5714</v>
      </c>
      <c r="H78" s="5">
        <v>8.8000000000000007</v>
      </c>
      <c r="I78" s="5">
        <v>2</v>
      </c>
      <c r="J78" s="5">
        <v>108</v>
      </c>
      <c r="K78" s="5" t="s">
        <v>93</v>
      </c>
      <c r="L78" s="5" t="s">
        <v>92</v>
      </c>
      <c r="M78" s="5" t="s">
        <v>90</v>
      </c>
      <c r="N78" s="5" t="s">
        <v>34</v>
      </c>
      <c r="O78" s="5">
        <v>93284</v>
      </c>
      <c r="P78" s="5" t="s">
        <v>29</v>
      </c>
      <c r="Q78" s="5" t="s">
        <v>30</v>
      </c>
      <c r="R78" s="5" t="s">
        <v>31</v>
      </c>
      <c r="S78" s="5" t="s">
        <v>32</v>
      </c>
      <c r="T78" s="5" t="s">
        <v>33</v>
      </c>
    </row>
    <row r="79" spans="1:20" ht="15.75" customHeight="1" x14ac:dyDescent="0.2">
      <c r="A79" s="5" t="s">
        <v>35</v>
      </c>
      <c r="B79" s="5">
        <v>649111</v>
      </c>
      <c r="C79" s="5">
        <v>93284</v>
      </c>
      <c r="D79" s="5">
        <v>2146</v>
      </c>
      <c r="E79" s="5">
        <v>0.33</v>
      </c>
      <c r="F79" s="5">
        <v>7</v>
      </c>
      <c r="G79" s="5">
        <v>5714</v>
      </c>
      <c r="H79" s="5">
        <v>8.8000000000000007</v>
      </c>
      <c r="I79" s="5">
        <v>2</v>
      </c>
      <c r="J79" s="5">
        <v>108</v>
      </c>
      <c r="K79" s="5" t="s">
        <v>93</v>
      </c>
      <c r="L79" s="5" t="s">
        <v>92</v>
      </c>
      <c r="M79" s="5" t="s">
        <v>91</v>
      </c>
      <c r="N79" s="5" t="s">
        <v>34</v>
      </c>
      <c r="O79" s="5">
        <v>93284</v>
      </c>
      <c r="P79" s="5" t="s">
        <v>29</v>
      </c>
      <c r="Q79" s="5" t="s">
        <v>30</v>
      </c>
      <c r="R79" s="5" t="s">
        <v>31</v>
      </c>
      <c r="S79" s="5" t="s">
        <v>32</v>
      </c>
      <c r="T79" s="5" t="s">
        <v>33</v>
      </c>
    </row>
    <row r="80" spans="1:20" ht="15.75" customHeight="1" x14ac:dyDescent="0.2">
      <c r="A80" s="5" t="s">
        <v>36</v>
      </c>
      <c r="B80" s="5">
        <v>217976</v>
      </c>
      <c r="C80" s="5">
        <v>7453</v>
      </c>
      <c r="D80" s="5">
        <v>884</v>
      </c>
      <c r="E80" s="5">
        <v>0.41</v>
      </c>
      <c r="F80" s="5">
        <v>29.2</v>
      </c>
      <c r="G80" s="5">
        <v>3211</v>
      </c>
      <c r="H80" s="5">
        <v>14.73</v>
      </c>
      <c r="I80" s="5">
        <v>4</v>
      </c>
      <c r="J80" s="5">
        <v>269.77</v>
      </c>
      <c r="K80" s="5" t="s">
        <v>93</v>
      </c>
      <c r="L80" s="5" t="s">
        <v>92</v>
      </c>
      <c r="M80" s="5" t="s">
        <v>90</v>
      </c>
      <c r="N80" s="5" t="s">
        <v>36</v>
      </c>
      <c r="O80" s="5">
        <v>7453</v>
      </c>
      <c r="P80" s="5" t="s">
        <v>29</v>
      </c>
      <c r="Q80" s="5" t="s">
        <v>30</v>
      </c>
      <c r="R80" s="5" t="s">
        <v>31</v>
      </c>
      <c r="S80" s="5" t="s">
        <v>32</v>
      </c>
      <c r="T80" s="5" t="s">
        <v>33</v>
      </c>
    </row>
    <row r="81" spans="1:20" ht="15.75" customHeight="1" x14ac:dyDescent="0.2">
      <c r="A81" s="5" t="s">
        <v>35</v>
      </c>
      <c r="B81" s="5">
        <v>217976</v>
      </c>
      <c r="C81" s="5">
        <v>7453</v>
      </c>
      <c r="D81" s="5">
        <v>884</v>
      </c>
      <c r="E81" s="5">
        <v>0.41</v>
      </c>
      <c r="F81" s="5">
        <v>29.2</v>
      </c>
      <c r="G81" s="5">
        <v>3211</v>
      </c>
      <c r="H81" s="5">
        <v>14.73</v>
      </c>
      <c r="I81" s="5">
        <v>4</v>
      </c>
      <c r="J81" s="5">
        <v>269.77</v>
      </c>
      <c r="K81" s="5" t="s">
        <v>93</v>
      </c>
      <c r="L81" s="5" t="s">
        <v>92</v>
      </c>
      <c r="M81" s="5" t="s">
        <v>91</v>
      </c>
      <c r="N81" s="5" t="s">
        <v>36</v>
      </c>
      <c r="O81" s="5">
        <v>7453</v>
      </c>
      <c r="P81" s="5" t="s">
        <v>29</v>
      </c>
      <c r="Q81" s="5" t="s">
        <v>30</v>
      </c>
      <c r="R81" s="5" t="s">
        <v>31</v>
      </c>
      <c r="S81" s="5" t="s">
        <v>32</v>
      </c>
      <c r="T81" s="5" t="s">
        <v>33</v>
      </c>
    </row>
    <row r="82" spans="1:20" ht="15.75" customHeight="1" x14ac:dyDescent="0.2">
      <c r="A82" s="5" t="s">
        <v>37</v>
      </c>
      <c r="B82" s="5">
        <v>486087</v>
      </c>
      <c r="C82" s="5">
        <v>64889</v>
      </c>
      <c r="D82" s="5">
        <v>1615</v>
      </c>
      <c r="E82" s="5">
        <v>0.33</v>
      </c>
      <c r="F82" s="5">
        <v>7.5</v>
      </c>
      <c r="G82" s="5">
        <v>4285</v>
      </c>
      <c r="H82" s="5">
        <v>8.82</v>
      </c>
      <c r="I82" s="5">
        <v>2</v>
      </c>
      <c r="J82" s="5">
        <v>124.75</v>
      </c>
      <c r="K82" s="5" t="s">
        <v>93</v>
      </c>
      <c r="L82" s="5" t="s">
        <v>92</v>
      </c>
      <c r="M82" s="5" t="s">
        <v>90</v>
      </c>
      <c r="N82" s="5" t="s">
        <v>37</v>
      </c>
      <c r="O82" s="5">
        <v>64889</v>
      </c>
      <c r="P82" s="5" t="s">
        <v>29</v>
      </c>
      <c r="Q82" s="5" t="s">
        <v>30</v>
      </c>
      <c r="R82" s="5" t="s">
        <v>31</v>
      </c>
      <c r="S82" s="5" t="s">
        <v>32</v>
      </c>
      <c r="T82" s="5" t="s">
        <v>33</v>
      </c>
    </row>
    <row r="83" spans="1:20" ht="15.75" customHeight="1" x14ac:dyDescent="0.2">
      <c r="A83" s="5" t="s">
        <v>35</v>
      </c>
      <c r="B83" s="5">
        <v>486087</v>
      </c>
      <c r="C83" s="5">
        <v>64889</v>
      </c>
      <c r="D83" s="5">
        <v>1615</v>
      </c>
      <c r="E83" s="5">
        <v>0.33</v>
      </c>
      <c r="F83" s="5">
        <v>7.5</v>
      </c>
      <c r="G83" s="5">
        <v>4285</v>
      </c>
      <c r="H83" s="5">
        <v>8.82</v>
      </c>
      <c r="I83" s="5">
        <v>2</v>
      </c>
      <c r="J83" s="5">
        <v>124.75</v>
      </c>
      <c r="K83" s="5" t="s">
        <v>93</v>
      </c>
      <c r="L83" s="5" t="s">
        <v>92</v>
      </c>
      <c r="M83" s="5" t="s">
        <v>91</v>
      </c>
      <c r="N83" s="5" t="s">
        <v>37</v>
      </c>
      <c r="O83" s="5">
        <v>64889</v>
      </c>
      <c r="P83" s="5" t="s">
        <v>29</v>
      </c>
      <c r="Q83" s="5" t="s">
        <v>30</v>
      </c>
      <c r="R83" s="5" t="s">
        <v>31</v>
      </c>
      <c r="S83" s="5" t="s">
        <v>32</v>
      </c>
      <c r="T83" s="5" t="s">
        <v>33</v>
      </c>
    </row>
    <row r="84" spans="1:20" ht="15.75" customHeight="1" x14ac:dyDescent="0.2">
      <c r="A84" s="5" t="s">
        <v>38</v>
      </c>
      <c r="B84" s="5">
        <v>15464</v>
      </c>
      <c r="C84" s="5">
        <v>4622</v>
      </c>
      <c r="D84" s="5">
        <v>68</v>
      </c>
      <c r="E84" s="5">
        <v>0.44</v>
      </c>
      <c r="F84" s="5">
        <v>3.3</v>
      </c>
      <c r="G84" s="5">
        <v>165</v>
      </c>
      <c r="H84" s="5">
        <v>10.67</v>
      </c>
      <c r="I84" s="5">
        <v>0</v>
      </c>
      <c r="J84" s="5">
        <v>0</v>
      </c>
      <c r="K84" s="5" t="s">
        <v>93</v>
      </c>
      <c r="L84" s="5" t="s">
        <v>92</v>
      </c>
      <c r="M84" s="5" t="s">
        <v>90</v>
      </c>
      <c r="N84" s="5" t="s">
        <v>38</v>
      </c>
      <c r="O84" s="5">
        <v>4622</v>
      </c>
      <c r="P84" s="5" t="s">
        <v>29</v>
      </c>
      <c r="Q84" s="5" t="s">
        <v>30</v>
      </c>
      <c r="R84" s="5" t="s">
        <v>31</v>
      </c>
      <c r="S84" s="5" t="s">
        <v>32</v>
      </c>
      <c r="T84" s="5" t="s">
        <v>33</v>
      </c>
    </row>
    <row r="85" spans="1:20" ht="15.75" customHeight="1" x14ac:dyDescent="0.2">
      <c r="A85" s="5" t="s">
        <v>35</v>
      </c>
      <c r="B85" s="5">
        <v>15464</v>
      </c>
      <c r="C85" s="5">
        <v>4622</v>
      </c>
      <c r="D85" s="5">
        <v>68</v>
      </c>
      <c r="E85" s="5">
        <v>0.44</v>
      </c>
      <c r="F85" s="5">
        <v>3.3</v>
      </c>
      <c r="G85" s="5">
        <v>165</v>
      </c>
      <c r="H85" s="5">
        <v>10.67</v>
      </c>
      <c r="I85" s="5">
        <v>0</v>
      </c>
      <c r="J85" s="5">
        <v>0</v>
      </c>
      <c r="K85" s="5" t="s">
        <v>93</v>
      </c>
      <c r="L85" s="5" t="s">
        <v>92</v>
      </c>
      <c r="M85" s="5" t="s">
        <v>91</v>
      </c>
      <c r="N85" s="5" t="s">
        <v>38</v>
      </c>
      <c r="O85" s="5">
        <v>4622</v>
      </c>
      <c r="P85" s="5" t="s">
        <v>29</v>
      </c>
      <c r="Q85" s="5" t="s">
        <v>30</v>
      </c>
      <c r="R85" s="5" t="s">
        <v>31</v>
      </c>
      <c r="S85" s="5" t="s">
        <v>32</v>
      </c>
      <c r="T85" s="5" t="s">
        <v>33</v>
      </c>
    </row>
    <row r="86" spans="1:20" ht="15.75" customHeight="1" x14ac:dyDescent="0.2">
      <c r="A86" s="5" t="s">
        <v>39</v>
      </c>
      <c r="B86" s="5">
        <v>59998</v>
      </c>
      <c r="C86" s="5">
        <v>14493</v>
      </c>
      <c r="D86" s="5">
        <v>267</v>
      </c>
      <c r="E86" s="5">
        <v>0.45</v>
      </c>
      <c r="F86" s="5">
        <v>4.0999999999999996</v>
      </c>
      <c r="G86" s="5">
        <v>592</v>
      </c>
      <c r="H86" s="5">
        <v>9.8699999999999992</v>
      </c>
      <c r="I86" s="5">
        <v>0</v>
      </c>
      <c r="J86" s="5">
        <v>0</v>
      </c>
      <c r="K86" s="5" t="s">
        <v>93</v>
      </c>
      <c r="L86" s="5" t="s">
        <v>92</v>
      </c>
      <c r="M86" s="5" t="s">
        <v>90</v>
      </c>
      <c r="N86" s="5" t="s">
        <v>39</v>
      </c>
      <c r="O86" s="5">
        <v>14493</v>
      </c>
      <c r="P86" s="5" t="s">
        <v>29</v>
      </c>
      <c r="Q86" s="5" t="s">
        <v>30</v>
      </c>
      <c r="R86" s="5" t="s">
        <v>31</v>
      </c>
      <c r="S86" s="5" t="s">
        <v>32</v>
      </c>
      <c r="T86" s="5" t="s">
        <v>33</v>
      </c>
    </row>
    <row r="87" spans="1:20" ht="15.75" customHeight="1" x14ac:dyDescent="0.2">
      <c r="A87" s="5" t="s">
        <v>35</v>
      </c>
      <c r="B87" s="5">
        <v>59998</v>
      </c>
      <c r="C87" s="5">
        <v>14493</v>
      </c>
      <c r="D87" s="5">
        <v>267</v>
      </c>
      <c r="E87" s="5">
        <v>0.45</v>
      </c>
      <c r="F87" s="5">
        <v>4.0999999999999996</v>
      </c>
      <c r="G87" s="5">
        <v>592</v>
      </c>
      <c r="H87" s="5">
        <v>9.8699999999999992</v>
      </c>
      <c r="I87" s="5">
        <v>0</v>
      </c>
      <c r="J87" s="5">
        <v>0</v>
      </c>
      <c r="K87" s="5" t="s">
        <v>93</v>
      </c>
      <c r="L87" s="5" t="s">
        <v>92</v>
      </c>
      <c r="M87" s="5" t="s">
        <v>91</v>
      </c>
      <c r="N87" s="5" t="s">
        <v>39</v>
      </c>
      <c r="O87" s="5">
        <v>14493</v>
      </c>
      <c r="P87" s="5" t="s">
        <v>29</v>
      </c>
      <c r="Q87" s="5" t="s">
        <v>30</v>
      </c>
      <c r="R87" s="5" t="s">
        <v>31</v>
      </c>
      <c r="S87" s="5" t="s">
        <v>32</v>
      </c>
      <c r="T87" s="5" t="s">
        <v>33</v>
      </c>
    </row>
    <row r="88" spans="1:20" ht="15.75" customHeight="1" x14ac:dyDescent="0.2">
      <c r="A88" s="5" t="s">
        <v>40</v>
      </c>
      <c r="B88" s="5">
        <v>56771</v>
      </c>
      <c r="C88" s="5">
        <v>15559</v>
      </c>
      <c r="D88" s="5">
        <v>245</v>
      </c>
      <c r="E88" s="5">
        <v>0.43</v>
      </c>
      <c r="F88" s="5">
        <v>3.6</v>
      </c>
      <c r="G88" s="5">
        <v>561</v>
      </c>
      <c r="H88" s="5">
        <v>9.8800000000000008</v>
      </c>
      <c r="I88" s="5">
        <v>0</v>
      </c>
      <c r="J88" s="5">
        <v>0</v>
      </c>
      <c r="K88" s="5" t="s">
        <v>93</v>
      </c>
      <c r="L88" s="5" t="s">
        <v>92</v>
      </c>
      <c r="M88" s="5" t="s">
        <v>90</v>
      </c>
      <c r="N88" s="5" t="s">
        <v>40</v>
      </c>
      <c r="O88" s="5">
        <v>15559</v>
      </c>
      <c r="P88" s="5" t="s">
        <v>29</v>
      </c>
      <c r="Q88" s="5" t="s">
        <v>30</v>
      </c>
      <c r="R88" s="5" t="s">
        <v>31</v>
      </c>
      <c r="S88" s="5" t="s">
        <v>32</v>
      </c>
      <c r="T88" s="5" t="s">
        <v>33</v>
      </c>
    </row>
    <row r="89" spans="1:20" ht="15.75" customHeight="1" x14ac:dyDescent="0.2">
      <c r="A89" s="5" t="s">
        <v>35</v>
      </c>
      <c r="B89" s="5">
        <v>56771</v>
      </c>
      <c r="C89" s="5">
        <v>15559</v>
      </c>
      <c r="D89" s="5">
        <v>245</v>
      </c>
      <c r="E89" s="5">
        <v>0.43</v>
      </c>
      <c r="F89" s="5">
        <v>3.6</v>
      </c>
      <c r="G89" s="5">
        <v>561</v>
      </c>
      <c r="H89" s="5">
        <v>9.8800000000000008</v>
      </c>
      <c r="I89" s="5">
        <v>0</v>
      </c>
      <c r="J89" s="5">
        <v>0</v>
      </c>
      <c r="K89" s="5" t="s">
        <v>93</v>
      </c>
      <c r="L89" s="5" t="s">
        <v>92</v>
      </c>
      <c r="M89" s="5" t="s">
        <v>91</v>
      </c>
      <c r="N89" s="5" t="s">
        <v>40</v>
      </c>
      <c r="O89" s="5">
        <v>15559</v>
      </c>
      <c r="P89" s="5" t="s">
        <v>29</v>
      </c>
      <c r="Q89" s="5" t="s">
        <v>30</v>
      </c>
      <c r="R89" s="5" t="s">
        <v>31</v>
      </c>
      <c r="S89" s="5" t="s">
        <v>32</v>
      </c>
      <c r="T89" s="5" t="s">
        <v>33</v>
      </c>
    </row>
    <row r="90" spans="1:20" ht="15.75" customHeight="1" x14ac:dyDescent="0.2">
      <c r="A90" s="5" t="s">
        <v>41</v>
      </c>
      <c r="B90" s="5">
        <v>39318</v>
      </c>
      <c r="C90" s="5">
        <v>10221</v>
      </c>
      <c r="D90" s="5">
        <v>193</v>
      </c>
      <c r="E90" s="5">
        <v>0.49</v>
      </c>
      <c r="F90" s="5">
        <v>3.8</v>
      </c>
      <c r="G90" s="5">
        <v>466</v>
      </c>
      <c r="H90" s="5">
        <v>11.85</v>
      </c>
      <c r="I90" s="5">
        <v>0</v>
      </c>
      <c r="J90" s="5">
        <v>0</v>
      </c>
      <c r="K90" s="5" t="s">
        <v>93</v>
      </c>
      <c r="L90" s="5" t="s">
        <v>92</v>
      </c>
      <c r="M90" s="5" t="s">
        <v>90</v>
      </c>
      <c r="N90" s="5" t="s">
        <v>41</v>
      </c>
      <c r="O90" s="5">
        <v>10221</v>
      </c>
      <c r="P90" s="5" t="s">
        <v>29</v>
      </c>
      <c r="Q90" s="5" t="s">
        <v>30</v>
      </c>
      <c r="R90" s="5" t="s">
        <v>31</v>
      </c>
      <c r="S90" s="5" t="s">
        <v>32</v>
      </c>
      <c r="T90" s="5" t="s">
        <v>33</v>
      </c>
    </row>
    <row r="91" spans="1:20" ht="15.75" customHeight="1" x14ac:dyDescent="0.2">
      <c r="A91" s="5" t="s">
        <v>35</v>
      </c>
      <c r="B91" s="5">
        <v>39318</v>
      </c>
      <c r="C91" s="5">
        <v>10221</v>
      </c>
      <c r="D91" s="5">
        <v>193</v>
      </c>
      <c r="E91" s="5">
        <v>0.49</v>
      </c>
      <c r="F91" s="5">
        <v>3.8</v>
      </c>
      <c r="G91" s="5">
        <v>466</v>
      </c>
      <c r="H91" s="5">
        <v>11.85</v>
      </c>
      <c r="I91" s="5">
        <v>0</v>
      </c>
      <c r="J91" s="5">
        <v>0</v>
      </c>
      <c r="K91" s="5" t="s">
        <v>93</v>
      </c>
      <c r="L91" s="5" t="s">
        <v>92</v>
      </c>
      <c r="M91" s="5" t="s">
        <v>91</v>
      </c>
      <c r="N91" s="5" t="s">
        <v>41</v>
      </c>
      <c r="O91" s="5">
        <v>10221</v>
      </c>
      <c r="P91" s="5" t="s">
        <v>29</v>
      </c>
      <c r="Q91" s="5" t="s">
        <v>30</v>
      </c>
      <c r="R91" s="5" t="s">
        <v>31</v>
      </c>
      <c r="S91" s="5" t="s">
        <v>32</v>
      </c>
      <c r="T91" s="5" t="s">
        <v>33</v>
      </c>
    </row>
    <row r="92" spans="1:20" ht="15.75" customHeight="1" x14ac:dyDescent="0.2">
      <c r="A92" s="5" t="s">
        <v>42</v>
      </c>
      <c r="B92" s="5">
        <v>172808</v>
      </c>
      <c r="C92" s="5">
        <v>5415</v>
      </c>
      <c r="D92" s="5">
        <v>687</v>
      </c>
      <c r="E92" s="5">
        <v>0.4</v>
      </c>
      <c r="F92" s="5">
        <v>31.9</v>
      </c>
      <c r="G92" s="5">
        <v>2428</v>
      </c>
      <c r="H92" s="5">
        <v>14.05</v>
      </c>
      <c r="I92" s="5">
        <v>1</v>
      </c>
      <c r="J92" s="5">
        <v>75.75</v>
      </c>
      <c r="K92" s="5" t="s">
        <v>93</v>
      </c>
      <c r="L92" s="5" t="s">
        <v>92</v>
      </c>
      <c r="M92" s="5" t="s">
        <v>90</v>
      </c>
      <c r="N92" s="5" t="s">
        <v>42</v>
      </c>
      <c r="O92" s="5">
        <v>5415</v>
      </c>
      <c r="P92" s="5" t="s">
        <v>29</v>
      </c>
      <c r="Q92" s="5" t="s">
        <v>30</v>
      </c>
      <c r="R92" s="5" t="s">
        <v>31</v>
      </c>
      <c r="S92" s="5" t="s">
        <v>32</v>
      </c>
      <c r="T92" s="5" t="s">
        <v>33</v>
      </c>
    </row>
    <row r="93" spans="1:20" ht="15.75" customHeight="1" x14ac:dyDescent="0.2">
      <c r="A93" s="5" t="s">
        <v>35</v>
      </c>
      <c r="B93" s="5">
        <v>172808</v>
      </c>
      <c r="C93" s="5">
        <v>5415</v>
      </c>
      <c r="D93" s="5">
        <v>687</v>
      </c>
      <c r="E93" s="5">
        <v>0.4</v>
      </c>
      <c r="F93" s="5">
        <v>31.9</v>
      </c>
      <c r="G93" s="5">
        <v>2428</v>
      </c>
      <c r="H93" s="5">
        <v>14.05</v>
      </c>
      <c r="I93" s="5">
        <v>1</v>
      </c>
      <c r="J93" s="5">
        <v>75.75</v>
      </c>
      <c r="K93" s="5" t="s">
        <v>93</v>
      </c>
      <c r="L93" s="5" t="s">
        <v>92</v>
      </c>
      <c r="M93" s="5" t="s">
        <v>91</v>
      </c>
      <c r="N93" s="5" t="s">
        <v>42</v>
      </c>
      <c r="O93" s="5">
        <v>5415</v>
      </c>
      <c r="P93" s="5" t="s">
        <v>29</v>
      </c>
      <c r="Q93" s="5" t="s">
        <v>30</v>
      </c>
      <c r="R93" s="5" t="s">
        <v>31</v>
      </c>
      <c r="S93" s="5" t="s">
        <v>32</v>
      </c>
      <c r="T93" s="5" t="s">
        <v>33</v>
      </c>
    </row>
    <row r="94" spans="1:20" ht="15.75" customHeight="1" x14ac:dyDescent="0.2">
      <c r="A94" s="5" t="s">
        <v>43</v>
      </c>
      <c r="B94" s="5">
        <v>5736</v>
      </c>
      <c r="C94" s="5">
        <v>1446</v>
      </c>
      <c r="D94" s="5">
        <v>29</v>
      </c>
      <c r="E94" s="5">
        <v>0.51</v>
      </c>
      <c r="F94" s="5">
        <v>4</v>
      </c>
      <c r="G94" s="5">
        <v>68</v>
      </c>
      <c r="H94" s="5">
        <v>11.85</v>
      </c>
      <c r="I94" s="5">
        <v>0</v>
      </c>
      <c r="J94" s="5">
        <v>0</v>
      </c>
      <c r="K94" s="5" t="s">
        <v>93</v>
      </c>
      <c r="L94" s="5" t="s">
        <v>92</v>
      </c>
      <c r="M94" s="5" t="s">
        <v>90</v>
      </c>
      <c r="N94" s="5" t="s">
        <v>43</v>
      </c>
      <c r="O94" s="5">
        <v>1446</v>
      </c>
      <c r="P94" s="5" t="s">
        <v>29</v>
      </c>
      <c r="Q94" s="5" t="s">
        <v>30</v>
      </c>
      <c r="R94" s="5" t="s">
        <v>31</v>
      </c>
      <c r="S94" s="5" t="s">
        <v>32</v>
      </c>
      <c r="T94" s="5" t="s">
        <v>33</v>
      </c>
    </row>
    <row r="95" spans="1:20" ht="15.75" customHeight="1" x14ac:dyDescent="0.2">
      <c r="A95" s="5" t="s">
        <v>35</v>
      </c>
      <c r="B95" s="5">
        <v>5736</v>
      </c>
      <c r="C95" s="5">
        <v>1446</v>
      </c>
      <c r="D95" s="5">
        <v>29</v>
      </c>
      <c r="E95" s="5">
        <v>0.51</v>
      </c>
      <c r="F95" s="5">
        <v>4</v>
      </c>
      <c r="G95" s="5">
        <v>68</v>
      </c>
      <c r="H95" s="5">
        <v>11.85</v>
      </c>
      <c r="I95" s="5">
        <v>0</v>
      </c>
      <c r="J95" s="5">
        <v>0</v>
      </c>
      <c r="K95" s="5" t="s">
        <v>93</v>
      </c>
      <c r="L95" s="5" t="s">
        <v>92</v>
      </c>
      <c r="M95" s="5" t="s">
        <v>91</v>
      </c>
      <c r="N95" s="5" t="s">
        <v>43</v>
      </c>
      <c r="O95" s="5">
        <v>1446</v>
      </c>
      <c r="P95" s="5" t="s">
        <v>29</v>
      </c>
      <c r="Q95" s="5" t="s">
        <v>30</v>
      </c>
      <c r="R95" s="5" t="s">
        <v>31</v>
      </c>
      <c r="S95" s="5" t="s">
        <v>32</v>
      </c>
      <c r="T95" s="5" t="s">
        <v>33</v>
      </c>
    </row>
    <row r="96" spans="1:20" ht="15.75" customHeight="1" x14ac:dyDescent="0.2">
      <c r="A96" s="5" t="s">
        <v>44</v>
      </c>
      <c r="B96" s="5">
        <v>1791</v>
      </c>
      <c r="C96" s="5">
        <v>514</v>
      </c>
      <c r="D96" s="5">
        <v>12</v>
      </c>
      <c r="E96" s="5">
        <v>0.67</v>
      </c>
      <c r="F96" s="5">
        <v>3.5</v>
      </c>
      <c r="G96" s="5">
        <v>20</v>
      </c>
      <c r="H96" s="5">
        <v>11.17</v>
      </c>
      <c r="I96" s="5">
        <v>0</v>
      </c>
      <c r="J96" s="5">
        <v>0</v>
      </c>
      <c r="K96" s="5" t="s">
        <v>93</v>
      </c>
      <c r="L96" s="5" t="s">
        <v>92</v>
      </c>
      <c r="M96" s="5" t="s">
        <v>90</v>
      </c>
      <c r="N96" s="5" t="s">
        <v>44</v>
      </c>
      <c r="O96" s="5">
        <v>514</v>
      </c>
      <c r="P96" s="5" t="s">
        <v>29</v>
      </c>
      <c r="Q96" s="5" t="s">
        <v>30</v>
      </c>
      <c r="R96" s="5" t="s">
        <v>31</v>
      </c>
      <c r="S96" s="5" t="s">
        <v>32</v>
      </c>
      <c r="T96" s="5" t="s">
        <v>33</v>
      </c>
    </row>
    <row r="97" spans="1:20" ht="15.75" customHeight="1" x14ac:dyDescent="0.2">
      <c r="A97" s="5" t="s">
        <v>35</v>
      </c>
      <c r="B97" s="5">
        <v>1791</v>
      </c>
      <c r="C97" s="5">
        <v>514</v>
      </c>
      <c r="D97" s="5">
        <v>12</v>
      </c>
      <c r="E97" s="5">
        <v>0.67</v>
      </c>
      <c r="F97" s="5">
        <v>3.5</v>
      </c>
      <c r="G97" s="5">
        <v>20</v>
      </c>
      <c r="H97" s="5">
        <v>11.17</v>
      </c>
      <c r="I97" s="5">
        <v>0</v>
      </c>
      <c r="J97" s="5">
        <v>0</v>
      </c>
      <c r="K97" s="5" t="s">
        <v>93</v>
      </c>
      <c r="L97" s="5" t="s">
        <v>92</v>
      </c>
      <c r="M97" s="5" t="s">
        <v>91</v>
      </c>
      <c r="N97" s="5" t="s">
        <v>44</v>
      </c>
      <c r="O97" s="5">
        <v>514</v>
      </c>
      <c r="P97" s="5" t="s">
        <v>29</v>
      </c>
      <c r="Q97" s="5" t="s">
        <v>30</v>
      </c>
      <c r="R97" s="5" t="s">
        <v>31</v>
      </c>
      <c r="S97" s="5" t="s">
        <v>32</v>
      </c>
      <c r="T97" s="5" t="s">
        <v>33</v>
      </c>
    </row>
    <row r="98" spans="1:20" ht="15.75" customHeight="1" x14ac:dyDescent="0.2">
      <c r="A98" s="5" t="s">
        <v>45</v>
      </c>
      <c r="B98" s="5">
        <v>5748</v>
      </c>
      <c r="C98" s="5">
        <v>1600</v>
      </c>
      <c r="D98" s="5">
        <v>25</v>
      </c>
      <c r="E98" s="5">
        <v>0.43</v>
      </c>
      <c r="F98" s="5">
        <v>3.6</v>
      </c>
      <c r="G98" s="5">
        <v>59</v>
      </c>
      <c r="H98" s="5">
        <v>10.26</v>
      </c>
      <c r="I98" s="5">
        <v>0</v>
      </c>
      <c r="J98" s="5">
        <v>0</v>
      </c>
      <c r="K98" s="5" t="s">
        <v>93</v>
      </c>
      <c r="L98" s="5" t="s">
        <v>92</v>
      </c>
      <c r="M98" s="5" t="s">
        <v>90</v>
      </c>
      <c r="N98" s="5" t="s">
        <v>45</v>
      </c>
      <c r="O98" s="5">
        <v>1600</v>
      </c>
      <c r="P98" s="5" t="s">
        <v>29</v>
      </c>
      <c r="Q98" s="5" t="s">
        <v>30</v>
      </c>
      <c r="R98" s="5" t="s">
        <v>31</v>
      </c>
      <c r="S98" s="5" t="s">
        <v>32</v>
      </c>
      <c r="T98" s="5" t="s">
        <v>33</v>
      </c>
    </row>
    <row r="99" spans="1:20" ht="15.75" customHeight="1" x14ac:dyDescent="0.2">
      <c r="A99" s="5" t="s">
        <v>35</v>
      </c>
      <c r="B99" s="5">
        <v>5748</v>
      </c>
      <c r="C99" s="5">
        <v>1600</v>
      </c>
      <c r="D99" s="5">
        <v>25</v>
      </c>
      <c r="E99" s="5">
        <v>0.43</v>
      </c>
      <c r="F99" s="5">
        <v>3.6</v>
      </c>
      <c r="G99" s="5">
        <v>59</v>
      </c>
      <c r="H99" s="5">
        <v>10.26</v>
      </c>
      <c r="I99" s="5">
        <v>0</v>
      </c>
      <c r="J99" s="5">
        <v>0</v>
      </c>
      <c r="K99" s="5" t="s">
        <v>93</v>
      </c>
      <c r="L99" s="5" t="s">
        <v>92</v>
      </c>
      <c r="M99" s="5" t="s">
        <v>91</v>
      </c>
      <c r="N99" s="5" t="s">
        <v>45</v>
      </c>
      <c r="O99" s="5">
        <v>1600</v>
      </c>
      <c r="P99" s="5" t="s">
        <v>29</v>
      </c>
      <c r="Q99" s="5" t="s">
        <v>30</v>
      </c>
      <c r="R99" s="5" t="s">
        <v>31</v>
      </c>
      <c r="S99" s="5" t="s">
        <v>32</v>
      </c>
      <c r="T99" s="5" t="s">
        <v>33</v>
      </c>
    </row>
    <row r="100" spans="1:20" ht="15.75" customHeight="1" x14ac:dyDescent="0.2">
      <c r="A100" s="5" t="s">
        <v>46</v>
      </c>
      <c r="B100" s="5">
        <v>2634</v>
      </c>
      <c r="C100" s="5">
        <v>635</v>
      </c>
      <c r="D100" s="5">
        <v>13</v>
      </c>
      <c r="E100" s="5">
        <v>0.49</v>
      </c>
      <c r="F100" s="5">
        <v>4.0999999999999996</v>
      </c>
      <c r="G100" s="5">
        <v>30</v>
      </c>
      <c r="H100" s="5">
        <v>11.39</v>
      </c>
      <c r="I100" s="5">
        <v>0</v>
      </c>
      <c r="J100" s="5">
        <v>0</v>
      </c>
      <c r="K100" s="5" t="s">
        <v>93</v>
      </c>
      <c r="L100" s="5" t="s">
        <v>92</v>
      </c>
      <c r="M100" s="5" t="s">
        <v>90</v>
      </c>
      <c r="N100" s="5" t="s">
        <v>46</v>
      </c>
      <c r="O100" s="5">
        <v>635</v>
      </c>
      <c r="P100" s="5" t="s">
        <v>29</v>
      </c>
      <c r="Q100" s="5" t="s">
        <v>30</v>
      </c>
      <c r="R100" s="5" t="s">
        <v>31</v>
      </c>
      <c r="S100" s="5" t="s">
        <v>32</v>
      </c>
      <c r="T100" s="5" t="s">
        <v>33</v>
      </c>
    </row>
    <row r="101" spans="1:20" ht="15.75" customHeight="1" x14ac:dyDescent="0.2">
      <c r="A101" s="5" t="s">
        <v>35</v>
      </c>
      <c r="B101" s="5">
        <v>2634</v>
      </c>
      <c r="C101" s="5">
        <v>635</v>
      </c>
      <c r="D101" s="5">
        <v>13</v>
      </c>
      <c r="E101" s="5">
        <v>0.49</v>
      </c>
      <c r="F101" s="5">
        <v>4.0999999999999996</v>
      </c>
      <c r="G101" s="5">
        <v>30</v>
      </c>
      <c r="H101" s="5">
        <v>11.39</v>
      </c>
      <c r="I101" s="5">
        <v>0</v>
      </c>
      <c r="J101" s="5">
        <v>0</v>
      </c>
      <c r="K101" s="5" t="s">
        <v>93</v>
      </c>
      <c r="L101" s="5" t="s">
        <v>92</v>
      </c>
      <c r="M101" s="5" t="s">
        <v>91</v>
      </c>
      <c r="N101" s="5" t="s">
        <v>46</v>
      </c>
      <c r="O101" s="5">
        <v>635</v>
      </c>
      <c r="P101" s="5" t="s">
        <v>29</v>
      </c>
      <c r="Q101" s="5" t="s">
        <v>30</v>
      </c>
      <c r="R101" s="5" t="s">
        <v>31</v>
      </c>
      <c r="S101" s="5" t="s">
        <v>32</v>
      </c>
      <c r="T101" s="5" t="s">
        <v>33</v>
      </c>
    </row>
    <row r="102" spans="1:20" ht="15.75" customHeight="1" x14ac:dyDescent="0.2"/>
    <row r="103" spans="1:20" ht="15.75" customHeight="1" x14ac:dyDescent="0.2"/>
    <row r="104" spans="1:20" ht="15.75" customHeight="1" x14ac:dyDescent="0.2"/>
    <row r="105" spans="1:20" ht="15.75" customHeight="1" x14ac:dyDescent="0.2"/>
    <row r="106" spans="1:20" ht="15.75" customHeight="1" x14ac:dyDescent="0.2"/>
    <row r="107" spans="1:20" ht="15.75" customHeight="1" x14ac:dyDescent="0.2"/>
    <row r="108" spans="1:20" ht="15.75" customHeight="1" x14ac:dyDescent="0.2"/>
    <row r="109" spans="1:20" ht="15.75" customHeight="1" x14ac:dyDescent="0.2"/>
    <row r="110" spans="1:20" ht="15.75" customHeight="1" x14ac:dyDescent="0.2"/>
    <row r="111" spans="1:20" ht="15.75" customHeight="1" x14ac:dyDescent="0.2"/>
    <row r="112" spans="1:20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4" x14ac:dyDescent="0.2">
      <c r="A1" s="24" t="s">
        <v>9</v>
      </c>
      <c r="B1" s="24" t="s">
        <v>82</v>
      </c>
      <c r="C1" s="24" t="s">
        <v>94</v>
      </c>
      <c r="D1" s="24" t="s">
        <v>95</v>
      </c>
      <c r="E1" s="24" t="s">
        <v>96</v>
      </c>
      <c r="F1" s="24" t="s">
        <v>85</v>
      </c>
      <c r="G1" s="24" t="s">
        <v>86</v>
      </c>
      <c r="H1" s="24" t="s">
        <v>57</v>
      </c>
      <c r="I1" s="24" t="s">
        <v>8</v>
      </c>
      <c r="J1" s="24" t="s">
        <v>1</v>
      </c>
      <c r="K1" s="24" t="s">
        <v>2</v>
      </c>
      <c r="L1" s="24" t="s">
        <v>3</v>
      </c>
      <c r="M1" s="24" t="s">
        <v>4</v>
      </c>
      <c r="N1" s="24" t="s">
        <v>7</v>
      </c>
    </row>
    <row r="2" spans="1:14" x14ac:dyDescent="0.2">
      <c r="A2" s="5" t="s">
        <v>87</v>
      </c>
      <c r="B2" s="5">
        <v>0</v>
      </c>
      <c r="C2" s="5">
        <v>0</v>
      </c>
      <c r="D2" s="5" t="s">
        <v>97</v>
      </c>
      <c r="E2" s="5" t="s">
        <v>93</v>
      </c>
      <c r="F2" s="5" t="s">
        <v>88</v>
      </c>
      <c r="G2" s="5" t="s">
        <v>89</v>
      </c>
      <c r="H2" s="5" t="s">
        <v>60</v>
      </c>
      <c r="I2" s="5" t="s">
        <v>87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</row>
    <row r="3" spans="1:14" x14ac:dyDescent="0.2">
      <c r="A3" s="5" t="s">
        <v>34</v>
      </c>
      <c r="B3" s="5">
        <v>0</v>
      </c>
      <c r="C3" s="5">
        <v>0</v>
      </c>
      <c r="D3" s="5" t="s">
        <v>97</v>
      </c>
      <c r="E3" s="5" t="s">
        <v>93</v>
      </c>
      <c r="F3" s="5" t="s">
        <v>88</v>
      </c>
      <c r="G3" s="5" t="s">
        <v>90</v>
      </c>
      <c r="H3" s="5" t="s">
        <v>60</v>
      </c>
      <c r="I3" s="5" t="s">
        <v>34</v>
      </c>
      <c r="J3" s="5" t="s">
        <v>29</v>
      </c>
      <c r="K3" s="5" t="s">
        <v>30</v>
      </c>
      <c r="L3" s="5" t="s">
        <v>31</v>
      </c>
      <c r="M3" s="5" t="s">
        <v>32</v>
      </c>
      <c r="N3" s="5" t="s">
        <v>33</v>
      </c>
    </row>
    <row r="4" spans="1:14" x14ac:dyDescent="0.2">
      <c r="A4" s="5" t="s">
        <v>35</v>
      </c>
      <c r="B4" s="5">
        <v>0</v>
      </c>
      <c r="C4" s="5">
        <v>0</v>
      </c>
      <c r="D4" s="5" t="s">
        <v>97</v>
      </c>
      <c r="E4" s="5" t="s">
        <v>93</v>
      </c>
      <c r="F4" s="5" t="s">
        <v>88</v>
      </c>
      <c r="G4" s="5" t="s">
        <v>91</v>
      </c>
      <c r="H4" s="5" t="s">
        <v>60</v>
      </c>
      <c r="I4" s="5" t="s">
        <v>34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</row>
    <row r="5" spans="1:14" x14ac:dyDescent="0.2">
      <c r="A5" s="5" t="s">
        <v>36</v>
      </c>
      <c r="B5" s="5">
        <v>0</v>
      </c>
      <c r="C5" s="5">
        <v>0</v>
      </c>
      <c r="D5" s="5" t="s">
        <v>97</v>
      </c>
      <c r="E5" s="5" t="s">
        <v>93</v>
      </c>
      <c r="F5" s="5" t="s">
        <v>88</v>
      </c>
      <c r="G5" s="5" t="s">
        <v>90</v>
      </c>
      <c r="H5" s="5" t="s">
        <v>60</v>
      </c>
      <c r="I5" s="5" t="s">
        <v>36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</row>
    <row r="6" spans="1:14" x14ac:dyDescent="0.2">
      <c r="A6" s="5" t="s">
        <v>35</v>
      </c>
      <c r="B6" s="5">
        <v>0</v>
      </c>
      <c r="C6" s="5">
        <v>0</v>
      </c>
      <c r="D6" s="5" t="s">
        <v>97</v>
      </c>
      <c r="E6" s="5" t="s">
        <v>93</v>
      </c>
      <c r="F6" s="5" t="s">
        <v>88</v>
      </c>
      <c r="G6" s="5" t="s">
        <v>91</v>
      </c>
      <c r="H6" s="5" t="s">
        <v>60</v>
      </c>
      <c r="I6" s="5" t="s">
        <v>36</v>
      </c>
      <c r="J6" s="5" t="s">
        <v>29</v>
      </c>
      <c r="K6" s="5" t="s">
        <v>30</v>
      </c>
      <c r="L6" s="5" t="s">
        <v>31</v>
      </c>
      <c r="M6" s="5" t="s">
        <v>32</v>
      </c>
      <c r="N6" s="5" t="s">
        <v>33</v>
      </c>
    </row>
    <row r="7" spans="1:14" x14ac:dyDescent="0.2">
      <c r="A7" s="5" t="s">
        <v>37</v>
      </c>
      <c r="B7" s="5">
        <v>0</v>
      </c>
      <c r="C7" s="5">
        <v>0</v>
      </c>
      <c r="D7" s="5" t="s">
        <v>97</v>
      </c>
      <c r="E7" s="5" t="s">
        <v>93</v>
      </c>
      <c r="F7" s="5" t="s">
        <v>88</v>
      </c>
      <c r="G7" s="5" t="s">
        <v>90</v>
      </c>
      <c r="H7" s="5" t="s">
        <v>60</v>
      </c>
      <c r="I7" s="5" t="s">
        <v>37</v>
      </c>
      <c r="J7" s="5" t="s">
        <v>29</v>
      </c>
      <c r="K7" s="5" t="s">
        <v>30</v>
      </c>
      <c r="L7" s="5" t="s">
        <v>31</v>
      </c>
      <c r="M7" s="5" t="s">
        <v>32</v>
      </c>
      <c r="N7" s="5" t="s">
        <v>33</v>
      </c>
    </row>
    <row r="8" spans="1:14" x14ac:dyDescent="0.2">
      <c r="A8" s="5" t="s">
        <v>35</v>
      </c>
      <c r="B8" s="5">
        <v>0</v>
      </c>
      <c r="C8" s="5">
        <v>0</v>
      </c>
      <c r="D8" s="5" t="s">
        <v>97</v>
      </c>
      <c r="E8" s="5" t="s">
        <v>93</v>
      </c>
      <c r="F8" s="5" t="s">
        <v>88</v>
      </c>
      <c r="G8" s="5" t="s">
        <v>91</v>
      </c>
      <c r="H8" s="5" t="s">
        <v>60</v>
      </c>
      <c r="I8" s="5" t="s">
        <v>37</v>
      </c>
      <c r="J8" s="5" t="s">
        <v>29</v>
      </c>
      <c r="K8" s="5" t="s">
        <v>30</v>
      </c>
      <c r="L8" s="5" t="s">
        <v>31</v>
      </c>
      <c r="M8" s="5" t="s">
        <v>32</v>
      </c>
      <c r="N8" s="5" t="s">
        <v>33</v>
      </c>
    </row>
    <row r="9" spans="1:14" x14ac:dyDescent="0.2">
      <c r="A9" s="5" t="s">
        <v>38</v>
      </c>
      <c r="B9" s="5">
        <v>0</v>
      </c>
      <c r="C9" s="5">
        <v>0</v>
      </c>
      <c r="D9" s="5" t="s">
        <v>97</v>
      </c>
      <c r="E9" s="5" t="s">
        <v>93</v>
      </c>
      <c r="F9" s="5" t="s">
        <v>88</v>
      </c>
      <c r="G9" s="5" t="s">
        <v>90</v>
      </c>
      <c r="H9" s="5" t="s">
        <v>60</v>
      </c>
      <c r="I9" s="5" t="s">
        <v>38</v>
      </c>
      <c r="J9" s="5" t="s">
        <v>29</v>
      </c>
      <c r="K9" s="5" t="s">
        <v>30</v>
      </c>
      <c r="L9" s="5" t="s">
        <v>31</v>
      </c>
      <c r="M9" s="5" t="s">
        <v>32</v>
      </c>
      <c r="N9" s="5" t="s">
        <v>33</v>
      </c>
    </row>
    <row r="10" spans="1:14" x14ac:dyDescent="0.2">
      <c r="A10" s="5" t="s">
        <v>35</v>
      </c>
      <c r="B10" s="5">
        <v>0</v>
      </c>
      <c r="C10" s="5">
        <v>0</v>
      </c>
      <c r="D10" s="5" t="s">
        <v>97</v>
      </c>
      <c r="E10" s="5" t="s">
        <v>93</v>
      </c>
      <c r="F10" s="5" t="s">
        <v>88</v>
      </c>
      <c r="G10" s="5" t="s">
        <v>91</v>
      </c>
      <c r="H10" s="5" t="s">
        <v>60</v>
      </c>
      <c r="I10" s="5" t="s">
        <v>38</v>
      </c>
      <c r="J10" s="5" t="s">
        <v>29</v>
      </c>
      <c r="K10" s="5" t="s">
        <v>30</v>
      </c>
      <c r="L10" s="5" t="s">
        <v>31</v>
      </c>
      <c r="M10" s="5" t="s">
        <v>32</v>
      </c>
      <c r="N10" s="5" t="s">
        <v>33</v>
      </c>
    </row>
    <row r="11" spans="1:14" x14ac:dyDescent="0.2">
      <c r="A11" s="5" t="s">
        <v>39</v>
      </c>
      <c r="B11" s="5">
        <v>0</v>
      </c>
      <c r="C11" s="5">
        <v>0</v>
      </c>
      <c r="D11" s="5" t="s">
        <v>97</v>
      </c>
      <c r="E11" s="5" t="s">
        <v>93</v>
      </c>
      <c r="F11" s="5" t="s">
        <v>88</v>
      </c>
      <c r="G11" s="5" t="s">
        <v>90</v>
      </c>
      <c r="H11" s="5" t="s">
        <v>60</v>
      </c>
      <c r="I11" s="5" t="s">
        <v>39</v>
      </c>
      <c r="J11" s="5" t="s">
        <v>29</v>
      </c>
      <c r="K11" s="5" t="s">
        <v>30</v>
      </c>
      <c r="L11" s="5" t="s">
        <v>31</v>
      </c>
      <c r="M11" s="5" t="s">
        <v>32</v>
      </c>
      <c r="N11" s="5" t="s">
        <v>33</v>
      </c>
    </row>
    <row r="12" spans="1:14" x14ac:dyDescent="0.2">
      <c r="A12" s="5" t="s">
        <v>35</v>
      </c>
      <c r="B12" s="5">
        <v>0</v>
      </c>
      <c r="C12" s="5">
        <v>0</v>
      </c>
      <c r="D12" s="5" t="s">
        <v>97</v>
      </c>
      <c r="E12" s="5" t="s">
        <v>93</v>
      </c>
      <c r="F12" s="5" t="s">
        <v>88</v>
      </c>
      <c r="G12" s="5" t="s">
        <v>91</v>
      </c>
      <c r="H12" s="5" t="s">
        <v>60</v>
      </c>
      <c r="I12" s="5" t="s">
        <v>39</v>
      </c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</row>
    <row r="13" spans="1:14" x14ac:dyDescent="0.2">
      <c r="A13" s="5" t="s">
        <v>40</v>
      </c>
      <c r="B13" s="5">
        <v>0</v>
      </c>
      <c r="C13" s="5">
        <v>0</v>
      </c>
      <c r="D13" s="5" t="s">
        <v>97</v>
      </c>
      <c r="E13" s="5" t="s">
        <v>93</v>
      </c>
      <c r="F13" s="5" t="s">
        <v>88</v>
      </c>
      <c r="G13" s="5" t="s">
        <v>90</v>
      </c>
      <c r="H13" s="5" t="s">
        <v>60</v>
      </c>
      <c r="I13" s="5" t="s">
        <v>40</v>
      </c>
      <c r="J13" s="5" t="s">
        <v>29</v>
      </c>
      <c r="K13" s="5" t="s">
        <v>30</v>
      </c>
      <c r="L13" s="5" t="s">
        <v>31</v>
      </c>
      <c r="M13" s="5" t="s">
        <v>32</v>
      </c>
      <c r="N13" s="5" t="s">
        <v>33</v>
      </c>
    </row>
    <row r="14" spans="1:14" x14ac:dyDescent="0.2">
      <c r="A14" s="5" t="s">
        <v>35</v>
      </c>
      <c r="B14" s="5">
        <v>0</v>
      </c>
      <c r="C14" s="5">
        <v>0</v>
      </c>
      <c r="D14" s="5" t="s">
        <v>97</v>
      </c>
      <c r="E14" s="5" t="s">
        <v>93</v>
      </c>
      <c r="F14" s="5" t="s">
        <v>88</v>
      </c>
      <c r="G14" s="5" t="s">
        <v>91</v>
      </c>
      <c r="H14" s="5" t="s">
        <v>60</v>
      </c>
      <c r="I14" s="5" t="s">
        <v>40</v>
      </c>
      <c r="J14" s="5" t="s">
        <v>29</v>
      </c>
      <c r="K14" s="5" t="s">
        <v>30</v>
      </c>
      <c r="L14" s="5" t="s">
        <v>31</v>
      </c>
      <c r="M14" s="5" t="s">
        <v>32</v>
      </c>
      <c r="N14" s="5" t="s">
        <v>33</v>
      </c>
    </row>
    <row r="15" spans="1:14" x14ac:dyDescent="0.2">
      <c r="A15" s="5" t="s">
        <v>41</v>
      </c>
      <c r="B15" s="5">
        <v>0</v>
      </c>
      <c r="C15" s="5">
        <v>0</v>
      </c>
      <c r="D15" s="5" t="s">
        <v>97</v>
      </c>
      <c r="E15" s="5" t="s">
        <v>93</v>
      </c>
      <c r="F15" s="5" t="s">
        <v>88</v>
      </c>
      <c r="G15" s="5" t="s">
        <v>90</v>
      </c>
      <c r="H15" s="5" t="s">
        <v>60</v>
      </c>
      <c r="I15" s="5" t="s">
        <v>41</v>
      </c>
      <c r="J15" s="5" t="s">
        <v>29</v>
      </c>
      <c r="K15" s="5" t="s">
        <v>30</v>
      </c>
      <c r="L15" s="5" t="s">
        <v>31</v>
      </c>
      <c r="M15" s="5" t="s">
        <v>32</v>
      </c>
      <c r="N15" s="5" t="s">
        <v>33</v>
      </c>
    </row>
    <row r="16" spans="1:14" x14ac:dyDescent="0.2">
      <c r="A16" s="5" t="s">
        <v>35</v>
      </c>
      <c r="B16" s="5">
        <v>0</v>
      </c>
      <c r="C16" s="5">
        <v>0</v>
      </c>
      <c r="D16" s="5" t="s">
        <v>97</v>
      </c>
      <c r="E16" s="5" t="s">
        <v>93</v>
      </c>
      <c r="F16" s="5" t="s">
        <v>88</v>
      </c>
      <c r="G16" s="5" t="s">
        <v>91</v>
      </c>
      <c r="H16" s="5" t="s">
        <v>60</v>
      </c>
      <c r="I16" s="5" t="s">
        <v>41</v>
      </c>
      <c r="J16" s="5" t="s">
        <v>29</v>
      </c>
      <c r="K16" s="5" t="s">
        <v>30</v>
      </c>
      <c r="L16" s="5" t="s">
        <v>31</v>
      </c>
      <c r="M16" s="5" t="s">
        <v>32</v>
      </c>
      <c r="N16" s="5" t="s">
        <v>33</v>
      </c>
    </row>
    <row r="17" spans="1:14" x14ac:dyDescent="0.2">
      <c r="A17" s="5" t="s">
        <v>42</v>
      </c>
      <c r="B17" s="5">
        <v>0</v>
      </c>
      <c r="C17" s="5">
        <v>0</v>
      </c>
      <c r="D17" s="5" t="s">
        <v>97</v>
      </c>
      <c r="E17" s="5" t="s">
        <v>93</v>
      </c>
      <c r="F17" s="5" t="s">
        <v>88</v>
      </c>
      <c r="G17" s="5" t="s">
        <v>90</v>
      </c>
      <c r="H17" s="5" t="s">
        <v>60</v>
      </c>
      <c r="I17" s="5" t="s">
        <v>42</v>
      </c>
      <c r="J17" s="5" t="s">
        <v>29</v>
      </c>
      <c r="K17" s="5" t="s">
        <v>30</v>
      </c>
      <c r="L17" s="5" t="s">
        <v>31</v>
      </c>
      <c r="M17" s="5" t="s">
        <v>32</v>
      </c>
      <c r="N17" s="5" t="s">
        <v>33</v>
      </c>
    </row>
    <row r="18" spans="1:14" x14ac:dyDescent="0.2">
      <c r="A18" s="5" t="s">
        <v>35</v>
      </c>
      <c r="B18" s="5">
        <v>0</v>
      </c>
      <c r="C18" s="5">
        <v>0</v>
      </c>
      <c r="D18" s="5" t="s">
        <v>97</v>
      </c>
      <c r="E18" s="5" t="s">
        <v>93</v>
      </c>
      <c r="F18" s="5" t="s">
        <v>88</v>
      </c>
      <c r="G18" s="5" t="s">
        <v>91</v>
      </c>
      <c r="H18" s="5" t="s">
        <v>60</v>
      </c>
      <c r="I18" s="5" t="s">
        <v>42</v>
      </c>
      <c r="J18" s="5" t="s">
        <v>29</v>
      </c>
      <c r="K18" s="5" t="s">
        <v>30</v>
      </c>
      <c r="L18" s="5" t="s">
        <v>31</v>
      </c>
      <c r="M18" s="5" t="s">
        <v>32</v>
      </c>
      <c r="N18" s="5" t="s">
        <v>33</v>
      </c>
    </row>
    <row r="19" spans="1:14" x14ac:dyDescent="0.2">
      <c r="A19" s="5" t="s">
        <v>43</v>
      </c>
      <c r="B19" s="5">
        <v>0</v>
      </c>
      <c r="C19" s="5">
        <v>0</v>
      </c>
      <c r="D19" s="5" t="s">
        <v>97</v>
      </c>
      <c r="E19" s="5" t="s">
        <v>93</v>
      </c>
      <c r="F19" s="5" t="s">
        <v>88</v>
      </c>
      <c r="G19" s="5" t="s">
        <v>90</v>
      </c>
      <c r="H19" s="5" t="s">
        <v>60</v>
      </c>
      <c r="I19" s="5" t="s">
        <v>43</v>
      </c>
      <c r="J19" s="5" t="s">
        <v>29</v>
      </c>
      <c r="K19" s="5" t="s">
        <v>30</v>
      </c>
      <c r="L19" s="5" t="s">
        <v>31</v>
      </c>
      <c r="M19" s="5" t="s">
        <v>32</v>
      </c>
      <c r="N19" s="5" t="s">
        <v>33</v>
      </c>
    </row>
    <row r="20" spans="1:14" x14ac:dyDescent="0.2">
      <c r="A20" s="5" t="s">
        <v>35</v>
      </c>
      <c r="B20" s="5">
        <v>0</v>
      </c>
      <c r="C20" s="5">
        <v>0</v>
      </c>
      <c r="D20" s="5" t="s">
        <v>97</v>
      </c>
      <c r="E20" s="5" t="s">
        <v>93</v>
      </c>
      <c r="F20" s="5" t="s">
        <v>88</v>
      </c>
      <c r="G20" s="5" t="s">
        <v>91</v>
      </c>
      <c r="H20" s="5" t="s">
        <v>60</v>
      </c>
      <c r="I20" s="5" t="s">
        <v>43</v>
      </c>
      <c r="J20" s="5" t="s">
        <v>29</v>
      </c>
      <c r="K20" s="5" t="s">
        <v>30</v>
      </c>
      <c r="L20" s="5" t="s">
        <v>31</v>
      </c>
      <c r="M20" s="5" t="s">
        <v>32</v>
      </c>
      <c r="N20" s="5" t="s">
        <v>33</v>
      </c>
    </row>
    <row r="21" spans="1:14" ht="15.75" customHeight="1" x14ac:dyDescent="0.2">
      <c r="A21" s="5" t="s">
        <v>44</v>
      </c>
      <c r="B21" s="5">
        <v>0</v>
      </c>
      <c r="C21" s="5">
        <v>0</v>
      </c>
      <c r="D21" s="5" t="s">
        <v>97</v>
      </c>
      <c r="E21" s="5" t="s">
        <v>93</v>
      </c>
      <c r="F21" s="5" t="s">
        <v>88</v>
      </c>
      <c r="G21" s="5" t="s">
        <v>90</v>
      </c>
      <c r="H21" s="5" t="s">
        <v>60</v>
      </c>
      <c r="I21" s="5" t="s">
        <v>44</v>
      </c>
      <c r="J21" s="5" t="s">
        <v>29</v>
      </c>
      <c r="K21" s="5" t="s">
        <v>30</v>
      </c>
      <c r="L21" s="5" t="s">
        <v>31</v>
      </c>
      <c r="M21" s="5" t="s">
        <v>32</v>
      </c>
      <c r="N21" s="5" t="s">
        <v>33</v>
      </c>
    </row>
    <row r="22" spans="1:14" ht="15.75" customHeight="1" x14ac:dyDescent="0.2">
      <c r="A22" s="5" t="s">
        <v>35</v>
      </c>
      <c r="B22" s="5">
        <v>0</v>
      </c>
      <c r="C22" s="5">
        <v>0</v>
      </c>
      <c r="D22" s="5" t="s">
        <v>97</v>
      </c>
      <c r="E22" s="5" t="s">
        <v>93</v>
      </c>
      <c r="F22" s="5" t="s">
        <v>88</v>
      </c>
      <c r="G22" s="5" t="s">
        <v>91</v>
      </c>
      <c r="H22" s="5" t="s">
        <v>60</v>
      </c>
      <c r="I22" s="5" t="s">
        <v>44</v>
      </c>
      <c r="J22" s="5" t="s">
        <v>29</v>
      </c>
      <c r="K22" s="5" t="s">
        <v>30</v>
      </c>
      <c r="L22" s="5" t="s">
        <v>31</v>
      </c>
      <c r="M22" s="5" t="s">
        <v>32</v>
      </c>
      <c r="N22" s="5" t="s">
        <v>33</v>
      </c>
    </row>
    <row r="23" spans="1:14" ht="15.75" customHeight="1" x14ac:dyDescent="0.2">
      <c r="A23" s="5" t="s">
        <v>45</v>
      </c>
      <c r="B23" s="5">
        <v>0</v>
      </c>
      <c r="C23" s="5">
        <v>0</v>
      </c>
      <c r="D23" s="5" t="s">
        <v>97</v>
      </c>
      <c r="E23" s="5" t="s">
        <v>93</v>
      </c>
      <c r="F23" s="5" t="s">
        <v>88</v>
      </c>
      <c r="G23" s="5" t="s">
        <v>90</v>
      </c>
      <c r="H23" s="5" t="s">
        <v>60</v>
      </c>
      <c r="I23" s="5" t="s">
        <v>45</v>
      </c>
      <c r="J23" s="5" t="s">
        <v>29</v>
      </c>
      <c r="K23" s="5" t="s">
        <v>30</v>
      </c>
      <c r="L23" s="5" t="s">
        <v>31</v>
      </c>
      <c r="M23" s="5" t="s">
        <v>32</v>
      </c>
      <c r="N23" s="5" t="s">
        <v>33</v>
      </c>
    </row>
    <row r="24" spans="1:14" ht="15.75" customHeight="1" x14ac:dyDescent="0.2">
      <c r="A24" s="5" t="s">
        <v>35</v>
      </c>
      <c r="B24" s="5">
        <v>0</v>
      </c>
      <c r="C24" s="5">
        <v>0</v>
      </c>
      <c r="D24" s="5" t="s">
        <v>97</v>
      </c>
      <c r="E24" s="5" t="s">
        <v>93</v>
      </c>
      <c r="F24" s="5" t="s">
        <v>88</v>
      </c>
      <c r="G24" s="5" t="s">
        <v>91</v>
      </c>
      <c r="H24" s="5" t="s">
        <v>60</v>
      </c>
      <c r="I24" s="5" t="s">
        <v>45</v>
      </c>
      <c r="J24" s="5" t="s">
        <v>29</v>
      </c>
      <c r="K24" s="5" t="s">
        <v>30</v>
      </c>
      <c r="L24" s="5" t="s">
        <v>31</v>
      </c>
      <c r="M24" s="5" t="s">
        <v>32</v>
      </c>
      <c r="N24" s="5" t="s">
        <v>33</v>
      </c>
    </row>
    <row r="25" spans="1:14" ht="15.75" customHeight="1" x14ac:dyDescent="0.2">
      <c r="A25" s="5" t="s">
        <v>46</v>
      </c>
      <c r="B25" s="5">
        <v>0</v>
      </c>
      <c r="C25" s="5">
        <v>0</v>
      </c>
      <c r="D25" s="5" t="s">
        <v>97</v>
      </c>
      <c r="E25" s="5" t="s">
        <v>93</v>
      </c>
      <c r="F25" s="5" t="s">
        <v>88</v>
      </c>
      <c r="G25" s="5" t="s">
        <v>90</v>
      </c>
      <c r="H25" s="5" t="s">
        <v>60</v>
      </c>
      <c r="I25" s="5" t="s">
        <v>46</v>
      </c>
      <c r="J25" s="5" t="s">
        <v>29</v>
      </c>
      <c r="K25" s="5" t="s">
        <v>30</v>
      </c>
      <c r="L25" s="5" t="s">
        <v>31</v>
      </c>
      <c r="M25" s="5" t="s">
        <v>32</v>
      </c>
      <c r="N25" s="5" t="s">
        <v>33</v>
      </c>
    </row>
    <row r="26" spans="1:14" ht="15.75" customHeight="1" x14ac:dyDescent="0.2">
      <c r="A26" s="5" t="s">
        <v>35</v>
      </c>
      <c r="B26" s="5">
        <v>0</v>
      </c>
      <c r="C26" s="5">
        <v>0</v>
      </c>
      <c r="D26" s="5" t="s">
        <v>97</v>
      </c>
      <c r="E26" s="5" t="s">
        <v>93</v>
      </c>
      <c r="F26" s="5" t="s">
        <v>88</v>
      </c>
      <c r="G26" s="5" t="s">
        <v>91</v>
      </c>
      <c r="H26" s="5" t="s">
        <v>60</v>
      </c>
      <c r="I26" s="5" t="s">
        <v>46</v>
      </c>
      <c r="J26" s="5" t="s">
        <v>29</v>
      </c>
      <c r="K26" s="5" t="s">
        <v>30</v>
      </c>
      <c r="L26" s="5" t="s">
        <v>31</v>
      </c>
      <c r="M26" s="5" t="s">
        <v>32</v>
      </c>
      <c r="N26" s="5" t="s">
        <v>33</v>
      </c>
    </row>
    <row r="27" spans="1:14" ht="15.75" customHeight="1" x14ac:dyDescent="0.2">
      <c r="A27" s="5" t="s">
        <v>87</v>
      </c>
      <c r="B27" s="5">
        <v>0</v>
      </c>
      <c r="C27" s="5">
        <v>0</v>
      </c>
      <c r="D27" s="5" t="s">
        <v>98</v>
      </c>
      <c r="E27" s="5" t="s">
        <v>93</v>
      </c>
      <c r="F27" s="5" t="s">
        <v>88</v>
      </c>
      <c r="G27" s="5" t="s">
        <v>89</v>
      </c>
      <c r="H27" s="5" t="s">
        <v>61</v>
      </c>
      <c r="I27" s="5" t="s">
        <v>87</v>
      </c>
      <c r="J27" s="5" t="s">
        <v>29</v>
      </c>
      <c r="K27" s="5" t="s">
        <v>30</v>
      </c>
      <c r="L27" s="5" t="s">
        <v>31</v>
      </c>
      <c r="M27" s="5" t="s">
        <v>32</v>
      </c>
      <c r="N27" s="5" t="s">
        <v>33</v>
      </c>
    </row>
    <row r="28" spans="1:14" ht="15.75" customHeight="1" x14ac:dyDescent="0.2">
      <c r="A28" s="5" t="s">
        <v>34</v>
      </c>
      <c r="B28" s="5">
        <v>0</v>
      </c>
      <c r="C28" s="5">
        <v>0</v>
      </c>
      <c r="D28" s="5" t="s">
        <v>98</v>
      </c>
      <c r="E28" s="5" t="s">
        <v>93</v>
      </c>
      <c r="F28" s="5" t="s">
        <v>88</v>
      </c>
      <c r="G28" s="5" t="s">
        <v>90</v>
      </c>
      <c r="H28" s="5" t="s">
        <v>61</v>
      </c>
      <c r="I28" s="5" t="s">
        <v>34</v>
      </c>
      <c r="J28" s="5" t="s">
        <v>29</v>
      </c>
      <c r="K28" s="5" t="s">
        <v>30</v>
      </c>
      <c r="L28" s="5" t="s">
        <v>31</v>
      </c>
      <c r="M28" s="5" t="s">
        <v>32</v>
      </c>
      <c r="N28" s="5" t="s">
        <v>33</v>
      </c>
    </row>
    <row r="29" spans="1:14" ht="15.75" customHeight="1" x14ac:dyDescent="0.2">
      <c r="A29" s="5" t="s">
        <v>35</v>
      </c>
      <c r="B29" s="5">
        <v>0</v>
      </c>
      <c r="C29" s="5">
        <v>0</v>
      </c>
      <c r="D29" s="5" t="s">
        <v>98</v>
      </c>
      <c r="E29" s="5" t="s">
        <v>93</v>
      </c>
      <c r="F29" s="5" t="s">
        <v>88</v>
      </c>
      <c r="G29" s="5" t="s">
        <v>91</v>
      </c>
      <c r="H29" s="5" t="s">
        <v>61</v>
      </c>
      <c r="I29" s="5" t="s">
        <v>34</v>
      </c>
      <c r="J29" s="5" t="s">
        <v>29</v>
      </c>
      <c r="K29" s="5" t="s">
        <v>30</v>
      </c>
      <c r="L29" s="5" t="s">
        <v>31</v>
      </c>
      <c r="M29" s="5" t="s">
        <v>32</v>
      </c>
      <c r="N29" s="5" t="s">
        <v>33</v>
      </c>
    </row>
    <row r="30" spans="1:14" ht="15.75" customHeight="1" x14ac:dyDescent="0.2">
      <c r="A30" s="5" t="s">
        <v>36</v>
      </c>
      <c r="B30" s="5">
        <v>0</v>
      </c>
      <c r="C30" s="5">
        <v>0</v>
      </c>
      <c r="D30" s="5" t="s">
        <v>98</v>
      </c>
      <c r="E30" s="5" t="s">
        <v>93</v>
      </c>
      <c r="F30" s="5" t="s">
        <v>88</v>
      </c>
      <c r="G30" s="5" t="s">
        <v>90</v>
      </c>
      <c r="H30" s="5" t="s">
        <v>61</v>
      </c>
      <c r="I30" s="5" t="s">
        <v>36</v>
      </c>
      <c r="J30" s="5" t="s">
        <v>29</v>
      </c>
      <c r="K30" s="5" t="s">
        <v>30</v>
      </c>
      <c r="L30" s="5" t="s">
        <v>31</v>
      </c>
      <c r="M30" s="5" t="s">
        <v>32</v>
      </c>
      <c r="N30" s="5" t="s">
        <v>33</v>
      </c>
    </row>
    <row r="31" spans="1:14" ht="15.75" customHeight="1" x14ac:dyDescent="0.2">
      <c r="A31" s="5" t="s">
        <v>35</v>
      </c>
      <c r="B31" s="5">
        <v>0</v>
      </c>
      <c r="C31" s="5">
        <v>0</v>
      </c>
      <c r="D31" s="5" t="s">
        <v>98</v>
      </c>
      <c r="E31" s="5" t="s">
        <v>93</v>
      </c>
      <c r="F31" s="5" t="s">
        <v>88</v>
      </c>
      <c r="G31" s="5" t="s">
        <v>91</v>
      </c>
      <c r="H31" s="5" t="s">
        <v>61</v>
      </c>
      <c r="I31" s="5" t="s">
        <v>36</v>
      </c>
      <c r="J31" s="5" t="s">
        <v>29</v>
      </c>
      <c r="K31" s="5" t="s">
        <v>30</v>
      </c>
      <c r="L31" s="5" t="s">
        <v>31</v>
      </c>
      <c r="M31" s="5" t="s">
        <v>32</v>
      </c>
      <c r="N31" s="5" t="s">
        <v>33</v>
      </c>
    </row>
    <row r="32" spans="1:14" ht="15.75" customHeight="1" x14ac:dyDescent="0.2">
      <c r="A32" s="5" t="s">
        <v>37</v>
      </c>
      <c r="B32" s="5">
        <v>0</v>
      </c>
      <c r="C32" s="5">
        <v>0</v>
      </c>
      <c r="D32" s="5" t="s">
        <v>98</v>
      </c>
      <c r="E32" s="5" t="s">
        <v>93</v>
      </c>
      <c r="F32" s="5" t="s">
        <v>88</v>
      </c>
      <c r="G32" s="5" t="s">
        <v>90</v>
      </c>
      <c r="H32" s="5" t="s">
        <v>61</v>
      </c>
      <c r="I32" s="5" t="s">
        <v>37</v>
      </c>
      <c r="J32" s="5" t="s">
        <v>29</v>
      </c>
      <c r="K32" s="5" t="s">
        <v>30</v>
      </c>
      <c r="L32" s="5" t="s">
        <v>31</v>
      </c>
      <c r="M32" s="5" t="s">
        <v>32</v>
      </c>
      <c r="N32" s="5" t="s">
        <v>33</v>
      </c>
    </row>
    <row r="33" spans="1:14" ht="15.75" customHeight="1" x14ac:dyDescent="0.2">
      <c r="A33" s="5" t="s">
        <v>35</v>
      </c>
      <c r="B33" s="5">
        <v>0</v>
      </c>
      <c r="C33" s="5">
        <v>0</v>
      </c>
      <c r="D33" s="5" t="s">
        <v>98</v>
      </c>
      <c r="E33" s="5" t="s">
        <v>93</v>
      </c>
      <c r="F33" s="5" t="s">
        <v>88</v>
      </c>
      <c r="G33" s="5" t="s">
        <v>91</v>
      </c>
      <c r="H33" s="5" t="s">
        <v>61</v>
      </c>
      <c r="I33" s="5" t="s">
        <v>37</v>
      </c>
      <c r="J33" s="5" t="s">
        <v>29</v>
      </c>
      <c r="K33" s="5" t="s">
        <v>30</v>
      </c>
      <c r="L33" s="5" t="s">
        <v>31</v>
      </c>
      <c r="M33" s="5" t="s">
        <v>32</v>
      </c>
      <c r="N33" s="5" t="s">
        <v>33</v>
      </c>
    </row>
    <row r="34" spans="1:14" ht="15.75" customHeight="1" x14ac:dyDescent="0.2">
      <c r="A34" s="5" t="s">
        <v>38</v>
      </c>
      <c r="B34" s="5">
        <v>0</v>
      </c>
      <c r="C34" s="5">
        <v>0</v>
      </c>
      <c r="D34" s="5" t="s">
        <v>98</v>
      </c>
      <c r="E34" s="5" t="s">
        <v>93</v>
      </c>
      <c r="F34" s="5" t="s">
        <v>88</v>
      </c>
      <c r="G34" s="5" t="s">
        <v>90</v>
      </c>
      <c r="H34" s="5" t="s">
        <v>61</v>
      </c>
      <c r="I34" s="5" t="s">
        <v>38</v>
      </c>
      <c r="J34" s="5" t="s">
        <v>29</v>
      </c>
      <c r="K34" s="5" t="s">
        <v>30</v>
      </c>
      <c r="L34" s="5" t="s">
        <v>31</v>
      </c>
      <c r="M34" s="5" t="s">
        <v>32</v>
      </c>
      <c r="N34" s="5" t="s">
        <v>33</v>
      </c>
    </row>
    <row r="35" spans="1:14" ht="15.75" customHeight="1" x14ac:dyDescent="0.2">
      <c r="A35" s="5" t="s">
        <v>35</v>
      </c>
      <c r="B35" s="5">
        <v>0</v>
      </c>
      <c r="C35" s="5">
        <v>0</v>
      </c>
      <c r="D35" s="5" t="s">
        <v>98</v>
      </c>
      <c r="E35" s="5" t="s">
        <v>93</v>
      </c>
      <c r="F35" s="5" t="s">
        <v>88</v>
      </c>
      <c r="G35" s="5" t="s">
        <v>91</v>
      </c>
      <c r="H35" s="5" t="s">
        <v>61</v>
      </c>
      <c r="I35" s="5" t="s">
        <v>38</v>
      </c>
      <c r="J35" s="5" t="s">
        <v>29</v>
      </c>
      <c r="K35" s="5" t="s">
        <v>30</v>
      </c>
      <c r="L35" s="5" t="s">
        <v>31</v>
      </c>
      <c r="M35" s="5" t="s">
        <v>32</v>
      </c>
      <c r="N35" s="5" t="s">
        <v>33</v>
      </c>
    </row>
    <row r="36" spans="1:14" ht="15.75" customHeight="1" x14ac:dyDescent="0.2">
      <c r="A36" s="5" t="s">
        <v>39</v>
      </c>
      <c r="B36" s="5">
        <v>0</v>
      </c>
      <c r="C36" s="5">
        <v>0</v>
      </c>
      <c r="D36" s="5" t="s">
        <v>98</v>
      </c>
      <c r="E36" s="5" t="s">
        <v>93</v>
      </c>
      <c r="F36" s="5" t="s">
        <v>88</v>
      </c>
      <c r="G36" s="5" t="s">
        <v>90</v>
      </c>
      <c r="H36" s="5" t="s">
        <v>61</v>
      </c>
      <c r="I36" s="5" t="s">
        <v>39</v>
      </c>
      <c r="J36" s="5" t="s">
        <v>29</v>
      </c>
      <c r="K36" s="5" t="s">
        <v>30</v>
      </c>
      <c r="L36" s="5" t="s">
        <v>31</v>
      </c>
      <c r="M36" s="5" t="s">
        <v>32</v>
      </c>
      <c r="N36" s="5" t="s">
        <v>33</v>
      </c>
    </row>
    <row r="37" spans="1:14" ht="15.75" customHeight="1" x14ac:dyDescent="0.2">
      <c r="A37" s="5" t="s">
        <v>35</v>
      </c>
      <c r="B37" s="5">
        <v>0</v>
      </c>
      <c r="C37" s="5">
        <v>0</v>
      </c>
      <c r="D37" s="5" t="s">
        <v>98</v>
      </c>
      <c r="E37" s="5" t="s">
        <v>93</v>
      </c>
      <c r="F37" s="5" t="s">
        <v>88</v>
      </c>
      <c r="G37" s="5" t="s">
        <v>91</v>
      </c>
      <c r="H37" s="5" t="s">
        <v>61</v>
      </c>
      <c r="I37" s="5" t="s">
        <v>39</v>
      </c>
      <c r="J37" s="5" t="s">
        <v>29</v>
      </c>
      <c r="K37" s="5" t="s">
        <v>30</v>
      </c>
      <c r="L37" s="5" t="s">
        <v>31</v>
      </c>
      <c r="M37" s="5" t="s">
        <v>32</v>
      </c>
      <c r="N37" s="5" t="s">
        <v>33</v>
      </c>
    </row>
    <row r="38" spans="1:14" ht="15.75" customHeight="1" x14ac:dyDescent="0.2">
      <c r="A38" s="5" t="s">
        <v>40</v>
      </c>
      <c r="B38" s="5">
        <v>0</v>
      </c>
      <c r="C38" s="5">
        <v>0</v>
      </c>
      <c r="D38" s="5" t="s">
        <v>98</v>
      </c>
      <c r="E38" s="5" t="s">
        <v>93</v>
      </c>
      <c r="F38" s="5" t="s">
        <v>88</v>
      </c>
      <c r="G38" s="5" t="s">
        <v>90</v>
      </c>
      <c r="H38" s="5" t="s">
        <v>61</v>
      </c>
      <c r="I38" s="5" t="s">
        <v>40</v>
      </c>
      <c r="J38" s="5" t="s">
        <v>29</v>
      </c>
      <c r="K38" s="5" t="s">
        <v>30</v>
      </c>
      <c r="L38" s="5" t="s">
        <v>31</v>
      </c>
      <c r="M38" s="5" t="s">
        <v>32</v>
      </c>
      <c r="N38" s="5" t="s">
        <v>33</v>
      </c>
    </row>
    <row r="39" spans="1:14" ht="15.75" customHeight="1" x14ac:dyDescent="0.2">
      <c r="A39" s="5" t="s">
        <v>35</v>
      </c>
      <c r="B39" s="5">
        <v>0</v>
      </c>
      <c r="C39" s="5">
        <v>0</v>
      </c>
      <c r="D39" s="5" t="s">
        <v>98</v>
      </c>
      <c r="E39" s="5" t="s">
        <v>93</v>
      </c>
      <c r="F39" s="5" t="s">
        <v>88</v>
      </c>
      <c r="G39" s="5" t="s">
        <v>91</v>
      </c>
      <c r="H39" s="5" t="s">
        <v>61</v>
      </c>
      <c r="I39" s="5" t="s">
        <v>40</v>
      </c>
      <c r="J39" s="5" t="s">
        <v>29</v>
      </c>
      <c r="K39" s="5" t="s">
        <v>30</v>
      </c>
      <c r="L39" s="5" t="s">
        <v>31</v>
      </c>
      <c r="M39" s="5" t="s">
        <v>32</v>
      </c>
      <c r="N39" s="5" t="s">
        <v>33</v>
      </c>
    </row>
    <row r="40" spans="1:14" ht="15.75" customHeight="1" x14ac:dyDescent="0.2">
      <c r="A40" s="5" t="s">
        <v>41</v>
      </c>
      <c r="B40" s="5">
        <v>0</v>
      </c>
      <c r="C40" s="5">
        <v>0</v>
      </c>
      <c r="D40" s="5" t="s">
        <v>98</v>
      </c>
      <c r="E40" s="5" t="s">
        <v>93</v>
      </c>
      <c r="F40" s="5" t="s">
        <v>88</v>
      </c>
      <c r="G40" s="5" t="s">
        <v>90</v>
      </c>
      <c r="H40" s="5" t="s">
        <v>61</v>
      </c>
      <c r="I40" s="5" t="s">
        <v>41</v>
      </c>
      <c r="J40" s="5" t="s">
        <v>29</v>
      </c>
      <c r="K40" s="5" t="s">
        <v>30</v>
      </c>
      <c r="L40" s="5" t="s">
        <v>31</v>
      </c>
      <c r="M40" s="5" t="s">
        <v>32</v>
      </c>
      <c r="N40" s="5" t="s">
        <v>33</v>
      </c>
    </row>
    <row r="41" spans="1:14" ht="15.75" customHeight="1" x14ac:dyDescent="0.2">
      <c r="A41" s="5" t="s">
        <v>35</v>
      </c>
      <c r="B41" s="5">
        <v>0</v>
      </c>
      <c r="C41" s="5">
        <v>0</v>
      </c>
      <c r="D41" s="5" t="s">
        <v>98</v>
      </c>
      <c r="E41" s="5" t="s">
        <v>93</v>
      </c>
      <c r="F41" s="5" t="s">
        <v>88</v>
      </c>
      <c r="G41" s="5" t="s">
        <v>91</v>
      </c>
      <c r="H41" s="5" t="s">
        <v>61</v>
      </c>
      <c r="I41" s="5" t="s">
        <v>41</v>
      </c>
      <c r="J41" s="5" t="s">
        <v>29</v>
      </c>
      <c r="K41" s="5" t="s">
        <v>30</v>
      </c>
      <c r="L41" s="5" t="s">
        <v>31</v>
      </c>
      <c r="M41" s="5" t="s">
        <v>32</v>
      </c>
      <c r="N41" s="5" t="s">
        <v>33</v>
      </c>
    </row>
    <row r="42" spans="1:14" ht="15.75" customHeight="1" x14ac:dyDescent="0.2">
      <c r="A42" s="5" t="s">
        <v>42</v>
      </c>
      <c r="B42" s="5">
        <v>0</v>
      </c>
      <c r="C42" s="5">
        <v>0</v>
      </c>
      <c r="D42" s="5" t="s">
        <v>98</v>
      </c>
      <c r="E42" s="5" t="s">
        <v>93</v>
      </c>
      <c r="F42" s="5" t="s">
        <v>88</v>
      </c>
      <c r="G42" s="5" t="s">
        <v>90</v>
      </c>
      <c r="H42" s="5" t="s">
        <v>61</v>
      </c>
      <c r="I42" s="5" t="s">
        <v>42</v>
      </c>
      <c r="J42" s="5" t="s">
        <v>29</v>
      </c>
      <c r="K42" s="5" t="s">
        <v>30</v>
      </c>
      <c r="L42" s="5" t="s">
        <v>31</v>
      </c>
      <c r="M42" s="5" t="s">
        <v>32</v>
      </c>
      <c r="N42" s="5" t="s">
        <v>33</v>
      </c>
    </row>
    <row r="43" spans="1:14" ht="15.75" customHeight="1" x14ac:dyDescent="0.2">
      <c r="A43" s="5" t="s">
        <v>35</v>
      </c>
      <c r="B43" s="5">
        <v>0</v>
      </c>
      <c r="C43" s="5">
        <v>0</v>
      </c>
      <c r="D43" s="5" t="s">
        <v>98</v>
      </c>
      <c r="E43" s="5" t="s">
        <v>93</v>
      </c>
      <c r="F43" s="5" t="s">
        <v>88</v>
      </c>
      <c r="G43" s="5" t="s">
        <v>91</v>
      </c>
      <c r="H43" s="5" t="s">
        <v>61</v>
      </c>
      <c r="I43" s="5" t="s">
        <v>42</v>
      </c>
      <c r="J43" s="5" t="s">
        <v>29</v>
      </c>
      <c r="K43" s="5" t="s">
        <v>30</v>
      </c>
      <c r="L43" s="5" t="s">
        <v>31</v>
      </c>
      <c r="M43" s="5" t="s">
        <v>32</v>
      </c>
      <c r="N43" s="5" t="s">
        <v>33</v>
      </c>
    </row>
    <row r="44" spans="1:14" ht="15.75" customHeight="1" x14ac:dyDescent="0.2">
      <c r="A44" s="5" t="s">
        <v>43</v>
      </c>
      <c r="B44" s="5">
        <v>0</v>
      </c>
      <c r="C44" s="5">
        <v>0</v>
      </c>
      <c r="D44" s="5" t="s">
        <v>98</v>
      </c>
      <c r="E44" s="5" t="s">
        <v>93</v>
      </c>
      <c r="F44" s="5" t="s">
        <v>88</v>
      </c>
      <c r="G44" s="5" t="s">
        <v>90</v>
      </c>
      <c r="H44" s="5" t="s">
        <v>61</v>
      </c>
      <c r="I44" s="5" t="s">
        <v>43</v>
      </c>
      <c r="J44" s="5" t="s">
        <v>29</v>
      </c>
      <c r="K44" s="5" t="s">
        <v>30</v>
      </c>
      <c r="L44" s="5" t="s">
        <v>31</v>
      </c>
      <c r="M44" s="5" t="s">
        <v>32</v>
      </c>
      <c r="N44" s="5" t="s">
        <v>33</v>
      </c>
    </row>
    <row r="45" spans="1:14" ht="15.75" customHeight="1" x14ac:dyDescent="0.2">
      <c r="A45" s="5" t="s">
        <v>35</v>
      </c>
      <c r="B45" s="5">
        <v>0</v>
      </c>
      <c r="C45" s="5">
        <v>0</v>
      </c>
      <c r="D45" s="5" t="s">
        <v>98</v>
      </c>
      <c r="E45" s="5" t="s">
        <v>93</v>
      </c>
      <c r="F45" s="5" t="s">
        <v>88</v>
      </c>
      <c r="G45" s="5" t="s">
        <v>91</v>
      </c>
      <c r="H45" s="5" t="s">
        <v>61</v>
      </c>
      <c r="I45" s="5" t="s">
        <v>43</v>
      </c>
      <c r="J45" s="5" t="s">
        <v>29</v>
      </c>
      <c r="K45" s="5" t="s">
        <v>30</v>
      </c>
      <c r="L45" s="5" t="s">
        <v>31</v>
      </c>
      <c r="M45" s="5" t="s">
        <v>32</v>
      </c>
      <c r="N45" s="5" t="s">
        <v>33</v>
      </c>
    </row>
    <row r="46" spans="1:14" ht="15.75" customHeight="1" x14ac:dyDescent="0.2">
      <c r="A46" s="5" t="s">
        <v>44</v>
      </c>
      <c r="B46" s="5">
        <v>0</v>
      </c>
      <c r="C46" s="5">
        <v>0</v>
      </c>
      <c r="D46" s="5" t="s">
        <v>98</v>
      </c>
      <c r="E46" s="5" t="s">
        <v>93</v>
      </c>
      <c r="F46" s="5" t="s">
        <v>88</v>
      </c>
      <c r="G46" s="5" t="s">
        <v>90</v>
      </c>
      <c r="H46" s="5" t="s">
        <v>61</v>
      </c>
      <c r="I46" s="5" t="s">
        <v>44</v>
      </c>
      <c r="J46" s="5" t="s">
        <v>29</v>
      </c>
      <c r="K46" s="5" t="s">
        <v>30</v>
      </c>
      <c r="L46" s="5" t="s">
        <v>31</v>
      </c>
      <c r="M46" s="5" t="s">
        <v>32</v>
      </c>
      <c r="N46" s="5" t="s">
        <v>33</v>
      </c>
    </row>
    <row r="47" spans="1:14" ht="15.75" customHeight="1" x14ac:dyDescent="0.2">
      <c r="A47" s="5" t="s">
        <v>35</v>
      </c>
      <c r="B47" s="5">
        <v>0</v>
      </c>
      <c r="C47" s="5">
        <v>0</v>
      </c>
      <c r="D47" s="5" t="s">
        <v>98</v>
      </c>
      <c r="E47" s="5" t="s">
        <v>93</v>
      </c>
      <c r="F47" s="5" t="s">
        <v>88</v>
      </c>
      <c r="G47" s="5" t="s">
        <v>91</v>
      </c>
      <c r="H47" s="5" t="s">
        <v>61</v>
      </c>
      <c r="I47" s="5" t="s">
        <v>44</v>
      </c>
      <c r="J47" s="5" t="s">
        <v>29</v>
      </c>
      <c r="K47" s="5" t="s">
        <v>30</v>
      </c>
      <c r="L47" s="5" t="s">
        <v>31</v>
      </c>
      <c r="M47" s="5" t="s">
        <v>32</v>
      </c>
      <c r="N47" s="5" t="s">
        <v>33</v>
      </c>
    </row>
    <row r="48" spans="1:14" ht="15.75" customHeight="1" x14ac:dyDescent="0.2">
      <c r="A48" s="5" t="s">
        <v>45</v>
      </c>
      <c r="B48" s="5">
        <v>0</v>
      </c>
      <c r="C48" s="5">
        <v>0</v>
      </c>
      <c r="D48" s="5" t="s">
        <v>98</v>
      </c>
      <c r="E48" s="5" t="s">
        <v>93</v>
      </c>
      <c r="F48" s="5" t="s">
        <v>88</v>
      </c>
      <c r="G48" s="5" t="s">
        <v>90</v>
      </c>
      <c r="H48" s="5" t="s">
        <v>61</v>
      </c>
      <c r="I48" s="5" t="s">
        <v>45</v>
      </c>
      <c r="J48" s="5" t="s">
        <v>29</v>
      </c>
      <c r="K48" s="5" t="s">
        <v>30</v>
      </c>
      <c r="L48" s="5" t="s">
        <v>31</v>
      </c>
      <c r="M48" s="5" t="s">
        <v>32</v>
      </c>
      <c r="N48" s="5" t="s">
        <v>33</v>
      </c>
    </row>
    <row r="49" spans="1:14" ht="15.75" customHeight="1" x14ac:dyDescent="0.2">
      <c r="A49" s="5" t="s">
        <v>35</v>
      </c>
      <c r="B49" s="5">
        <v>0</v>
      </c>
      <c r="C49" s="5">
        <v>0</v>
      </c>
      <c r="D49" s="5" t="s">
        <v>98</v>
      </c>
      <c r="E49" s="5" t="s">
        <v>93</v>
      </c>
      <c r="F49" s="5" t="s">
        <v>88</v>
      </c>
      <c r="G49" s="5" t="s">
        <v>91</v>
      </c>
      <c r="H49" s="5" t="s">
        <v>61</v>
      </c>
      <c r="I49" s="5" t="s">
        <v>45</v>
      </c>
      <c r="J49" s="5" t="s">
        <v>29</v>
      </c>
      <c r="K49" s="5" t="s">
        <v>30</v>
      </c>
      <c r="L49" s="5" t="s">
        <v>31</v>
      </c>
      <c r="M49" s="5" t="s">
        <v>32</v>
      </c>
      <c r="N49" s="5" t="s">
        <v>33</v>
      </c>
    </row>
    <row r="50" spans="1:14" ht="15.75" customHeight="1" x14ac:dyDescent="0.2">
      <c r="A50" s="5" t="s">
        <v>46</v>
      </c>
      <c r="B50" s="5">
        <v>0</v>
      </c>
      <c r="C50" s="5">
        <v>0</v>
      </c>
      <c r="D50" s="5" t="s">
        <v>98</v>
      </c>
      <c r="E50" s="5" t="s">
        <v>93</v>
      </c>
      <c r="F50" s="5" t="s">
        <v>88</v>
      </c>
      <c r="G50" s="5" t="s">
        <v>90</v>
      </c>
      <c r="H50" s="5" t="s">
        <v>61</v>
      </c>
      <c r="I50" s="5" t="s">
        <v>46</v>
      </c>
      <c r="J50" s="5" t="s">
        <v>29</v>
      </c>
      <c r="K50" s="5" t="s">
        <v>30</v>
      </c>
      <c r="L50" s="5" t="s">
        <v>31</v>
      </c>
      <c r="M50" s="5" t="s">
        <v>32</v>
      </c>
      <c r="N50" s="5" t="s">
        <v>33</v>
      </c>
    </row>
    <row r="51" spans="1:14" ht="15.75" customHeight="1" x14ac:dyDescent="0.2">
      <c r="A51" s="5" t="s">
        <v>35</v>
      </c>
      <c r="B51" s="5">
        <v>0</v>
      </c>
      <c r="C51" s="5">
        <v>0</v>
      </c>
      <c r="D51" s="5" t="s">
        <v>98</v>
      </c>
      <c r="E51" s="5" t="s">
        <v>93</v>
      </c>
      <c r="F51" s="5" t="s">
        <v>88</v>
      </c>
      <c r="G51" s="5" t="s">
        <v>91</v>
      </c>
      <c r="H51" s="5" t="s">
        <v>61</v>
      </c>
      <c r="I51" s="5" t="s">
        <v>46</v>
      </c>
      <c r="J51" s="5" t="s">
        <v>29</v>
      </c>
      <c r="K51" s="5" t="s">
        <v>30</v>
      </c>
      <c r="L51" s="5" t="s">
        <v>31</v>
      </c>
      <c r="M51" s="5" t="s">
        <v>32</v>
      </c>
      <c r="N51" s="5" t="s">
        <v>33</v>
      </c>
    </row>
    <row r="52" spans="1:14" ht="15.75" customHeight="1" x14ac:dyDescent="0.2">
      <c r="A52" s="5" t="s">
        <v>87</v>
      </c>
      <c r="B52" s="5">
        <v>0</v>
      </c>
      <c r="C52" s="5">
        <v>0</v>
      </c>
      <c r="D52" s="5" t="s">
        <v>99</v>
      </c>
      <c r="E52" s="5" t="s">
        <v>93</v>
      </c>
      <c r="F52" s="5" t="s">
        <v>88</v>
      </c>
      <c r="G52" s="5" t="s">
        <v>89</v>
      </c>
      <c r="H52" s="5" t="s">
        <v>60</v>
      </c>
      <c r="I52" s="5" t="s">
        <v>87</v>
      </c>
      <c r="J52" s="5" t="s">
        <v>29</v>
      </c>
      <c r="K52" s="5" t="s">
        <v>30</v>
      </c>
      <c r="L52" s="5" t="s">
        <v>31</v>
      </c>
      <c r="M52" s="5" t="s">
        <v>32</v>
      </c>
      <c r="N52" s="5" t="s">
        <v>33</v>
      </c>
    </row>
    <row r="53" spans="1:14" ht="15.75" customHeight="1" x14ac:dyDescent="0.2">
      <c r="A53" s="5" t="s">
        <v>34</v>
      </c>
      <c r="B53" s="5">
        <v>0</v>
      </c>
      <c r="C53" s="5">
        <v>0</v>
      </c>
      <c r="D53" s="5" t="s">
        <v>99</v>
      </c>
      <c r="E53" s="5" t="s">
        <v>93</v>
      </c>
      <c r="F53" s="5" t="s">
        <v>88</v>
      </c>
      <c r="G53" s="5" t="s">
        <v>90</v>
      </c>
      <c r="H53" s="5" t="s">
        <v>60</v>
      </c>
      <c r="I53" s="5" t="s">
        <v>34</v>
      </c>
      <c r="J53" s="5" t="s">
        <v>29</v>
      </c>
      <c r="K53" s="5" t="s">
        <v>30</v>
      </c>
      <c r="L53" s="5" t="s">
        <v>31</v>
      </c>
      <c r="M53" s="5" t="s">
        <v>32</v>
      </c>
      <c r="N53" s="5" t="s">
        <v>33</v>
      </c>
    </row>
    <row r="54" spans="1:14" ht="15.75" customHeight="1" x14ac:dyDescent="0.2">
      <c r="A54" s="5" t="s">
        <v>35</v>
      </c>
      <c r="B54" s="5">
        <v>0</v>
      </c>
      <c r="C54" s="5">
        <v>0</v>
      </c>
      <c r="D54" s="5" t="s">
        <v>99</v>
      </c>
      <c r="E54" s="5" t="s">
        <v>93</v>
      </c>
      <c r="F54" s="5" t="s">
        <v>88</v>
      </c>
      <c r="G54" s="5" t="s">
        <v>91</v>
      </c>
      <c r="H54" s="5" t="s">
        <v>60</v>
      </c>
      <c r="I54" s="5" t="s">
        <v>34</v>
      </c>
      <c r="J54" s="5" t="s">
        <v>29</v>
      </c>
      <c r="K54" s="5" t="s">
        <v>30</v>
      </c>
      <c r="L54" s="5" t="s">
        <v>31</v>
      </c>
      <c r="M54" s="5" t="s">
        <v>32</v>
      </c>
      <c r="N54" s="5" t="s">
        <v>33</v>
      </c>
    </row>
    <row r="55" spans="1:14" ht="15.75" customHeight="1" x14ac:dyDescent="0.2">
      <c r="A55" s="5" t="s">
        <v>36</v>
      </c>
      <c r="B55" s="5">
        <v>0</v>
      </c>
      <c r="C55" s="5">
        <v>0</v>
      </c>
      <c r="D55" s="5" t="s">
        <v>99</v>
      </c>
      <c r="E55" s="5" t="s">
        <v>93</v>
      </c>
      <c r="F55" s="5" t="s">
        <v>88</v>
      </c>
      <c r="G55" s="5" t="s">
        <v>90</v>
      </c>
      <c r="H55" s="5" t="s">
        <v>60</v>
      </c>
      <c r="I55" s="5" t="s">
        <v>36</v>
      </c>
      <c r="J55" s="5" t="s">
        <v>29</v>
      </c>
      <c r="K55" s="5" t="s">
        <v>30</v>
      </c>
      <c r="L55" s="5" t="s">
        <v>31</v>
      </c>
      <c r="M55" s="5" t="s">
        <v>32</v>
      </c>
      <c r="N55" s="5" t="s">
        <v>33</v>
      </c>
    </row>
    <row r="56" spans="1:14" ht="15.75" customHeight="1" x14ac:dyDescent="0.2">
      <c r="A56" s="5" t="s">
        <v>35</v>
      </c>
      <c r="B56" s="5">
        <v>0</v>
      </c>
      <c r="C56" s="5">
        <v>0</v>
      </c>
      <c r="D56" s="5" t="s">
        <v>99</v>
      </c>
      <c r="E56" s="5" t="s">
        <v>93</v>
      </c>
      <c r="F56" s="5" t="s">
        <v>88</v>
      </c>
      <c r="G56" s="5" t="s">
        <v>91</v>
      </c>
      <c r="H56" s="5" t="s">
        <v>60</v>
      </c>
      <c r="I56" s="5" t="s">
        <v>36</v>
      </c>
      <c r="J56" s="5" t="s">
        <v>29</v>
      </c>
      <c r="K56" s="5" t="s">
        <v>30</v>
      </c>
      <c r="L56" s="5" t="s">
        <v>31</v>
      </c>
      <c r="M56" s="5" t="s">
        <v>32</v>
      </c>
      <c r="N56" s="5" t="s">
        <v>33</v>
      </c>
    </row>
    <row r="57" spans="1:14" ht="15.75" customHeight="1" x14ac:dyDescent="0.2">
      <c r="A57" s="5" t="s">
        <v>37</v>
      </c>
      <c r="B57" s="5">
        <v>0</v>
      </c>
      <c r="C57" s="5">
        <v>0</v>
      </c>
      <c r="D57" s="5" t="s">
        <v>99</v>
      </c>
      <c r="E57" s="5" t="s">
        <v>93</v>
      </c>
      <c r="F57" s="5" t="s">
        <v>88</v>
      </c>
      <c r="G57" s="5" t="s">
        <v>90</v>
      </c>
      <c r="H57" s="5" t="s">
        <v>60</v>
      </c>
      <c r="I57" s="5" t="s">
        <v>37</v>
      </c>
      <c r="J57" s="5" t="s">
        <v>29</v>
      </c>
      <c r="K57" s="5" t="s">
        <v>30</v>
      </c>
      <c r="L57" s="5" t="s">
        <v>31</v>
      </c>
      <c r="M57" s="5" t="s">
        <v>32</v>
      </c>
      <c r="N57" s="5" t="s">
        <v>33</v>
      </c>
    </row>
    <row r="58" spans="1:14" ht="15.75" customHeight="1" x14ac:dyDescent="0.2">
      <c r="A58" s="5" t="s">
        <v>35</v>
      </c>
      <c r="B58" s="5">
        <v>0</v>
      </c>
      <c r="C58" s="5">
        <v>0</v>
      </c>
      <c r="D58" s="5" t="s">
        <v>99</v>
      </c>
      <c r="E58" s="5" t="s">
        <v>93</v>
      </c>
      <c r="F58" s="5" t="s">
        <v>88</v>
      </c>
      <c r="G58" s="5" t="s">
        <v>91</v>
      </c>
      <c r="H58" s="5" t="s">
        <v>60</v>
      </c>
      <c r="I58" s="5" t="s">
        <v>37</v>
      </c>
      <c r="J58" s="5" t="s">
        <v>29</v>
      </c>
      <c r="K58" s="5" t="s">
        <v>30</v>
      </c>
      <c r="L58" s="5" t="s">
        <v>31</v>
      </c>
      <c r="M58" s="5" t="s">
        <v>32</v>
      </c>
      <c r="N58" s="5" t="s">
        <v>33</v>
      </c>
    </row>
    <row r="59" spans="1:14" ht="15.75" customHeight="1" x14ac:dyDescent="0.2">
      <c r="A59" s="5" t="s">
        <v>38</v>
      </c>
      <c r="B59" s="5">
        <v>0</v>
      </c>
      <c r="C59" s="5">
        <v>0</v>
      </c>
      <c r="D59" s="5" t="s">
        <v>99</v>
      </c>
      <c r="E59" s="5" t="s">
        <v>93</v>
      </c>
      <c r="F59" s="5" t="s">
        <v>88</v>
      </c>
      <c r="G59" s="5" t="s">
        <v>90</v>
      </c>
      <c r="H59" s="5" t="s">
        <v>60</v>
      </c>
      <c r="I59" s="5" t="s">
        <v>38</v>
      </c>
      <c r="J59" s="5" t="s">
        <v>29</v>
      </c>
      <c r="K59" s="5" t="s">
        <v>30</v>
      </c>
      <c r="L59" s="5" t="s">
        <v>31</v>
      </c>
      <c r="M59" s="5" t="s">
        <v>32</v>
      </c>
      <c r="N59" s="5" t="s">
        <v>33</v>
      </c>
    </row>
    <row r="60" spans="1:14" ht="15.75" customHeight="1" x14ac:dyDescent="0.2">
      <c r="A60" s="5" t="s">
        <v>35</v>
      </c>
      <c r="B60" s="5">
        <v>0</v>
      </c>
      <c r="C60" s="5">
        <v>0</v>
      </c>
      <c r="D60" s="5" t="s">
        <v>99</v>
      </c>
      <c r="E60" s="5" t="s">
        <v>93</v>
      </c>
      <c r="F60" s="5" t="s">
        <v>88</v>
      </c>
      <c r="G60" s="5" t="s">
        <v>91</v>
      </c>
      <c r="H60" s="5" t="s">
        <v>60</v>
      </c>
      <c r="I60" s="5" t="s">
        <v>38</v>
      </c>
      <c r="J60" s="5" t="s">
        <v>29</v>
      </c>
      <c r="K60" s="5" t="s">
        <v>30</v>
      </c>
      <c r="L60" s="5" t="s">
        <v>31</v>
      </c>
      <c r="M60" s="5" t="s">
        <v>32</v>
      </c>
      <c r="N60" s="5" t="s">
        <v>33</v>
      </c>
    </row>
    <row r="61" spans="1:14" ht="15.75" customHeight="1" x14ac:dyDescent="0.2">
      <c r="A61" s="5" t="s">
        <v>39</v>
      </c>
      <c r="B61" s="5">
        <v>0</v>
      </c>
      <c r="C61" s="5">
        <v>0</v>
      </c>
      <c r="D61" s="5" t="s">
        <v>99</v>
      </c>
      <c r="E61" s="5" t="s">
        <v>93</v>
      </c>
      <c r="F61" s="5" t="s">
        <v>88</v>
      </c>
      <c r="G61" s="5" t="s">
        <v>90</v>
      </c>
      <c r="H61" s="5" t="s">
        <v>60</v>
      </c>
      <c r="I61" s="5" t="s">
        <v>39</v>
      </c>
      <c r="J61" s="5" t="s">
        <v>29</v>
      </c>
      <c r="K61" s="5" t="s">
        <v>30</v>
      </c>
      <c r="L61" s="5" t="s">
        <v>31</v>
      </c>
      <c r="M61" s="5" t="s">
        <v>32</v>
      </c>
      <c r="N61" s="5" t="s">
        <v>33</v>
      </c>
    </row>
    <row r="62" spans="1:14" ht="15.75" customHeight="1" x14ac:dyDescent="0.2">
      <c r="A62" s="5" t="s">
        <v>35</v>
      </c>
      <c r="B62" s="5">
        <v>0</v>
      </c>
      <c r="C62" s="5">
        <v>0</v>
      </c>
      <c r="D62" s="5" t="s">
        <v>99</v>
      </c>
      <c r="E62" s="5" t="s">
        <v>93</v>
      </c>
      <c r="F62" s="5" t="s">
        <v>88</v>
      </c>
      <c r="G62" s="5" t="s">
        <v>91</v>
      </c>
      <c r="H62" s="5" t="s">
        <v>60</v>
      </c>
      <c r="I62" s="5" t="s">
        <v>39</v>
      </c>
      <c r="J62" s="5" t="s">
        <v>29</v>
      </c>
      <c r="K62" s="5" t="s">
        <v>30</v>
      </c>
      <c r="L62" s="5" t="s">
        <v>31</v>
      </c>
      <c r="M62" s="5" t="s">
        <v>32</v>
      </c>
      <c r="N62" s="5" t="s">
        <v>33</v>
      </c>
    </row>
    <row r="63" spans="1:14" ht="15.75" customHeight="1" x14ac:dyDescent="0.2">
      <c r="A63" s="5" t="s">
        <v>40</v>
      </c>
      <c r="B63" s="5">
        <v>0</v>
      </c>
      <c r="C63" s="5">
        <v>0</v>
      </c>
      <c r="D63" s="5" t="s">
        <v>99</v>
      </c>
      <c r="E63" s="5" t="s">
        <v>93</v>
      </c>
      <c r="F63" s="5" t="s">
        <v>88</v>
      </c>
      <c r="G63" s="5" t="s">
        <v>90</v>
      </c>
      <c r="H63" s="5" t="s">
        <v>60</v>
      </c>
      <c r="I63" s="5" t="s">
        <v>40</v>
      </c>
      <c r="J63" s="5" t="s">
        <v>29</v>
      </c>
      <c r="K63" s="5" t="s">
        <v>30</v>
      </c>
      <c r="L63" s="5" t="s">
        <v>31</v>
      </c>
      <c r="M63" s="5" t="s">
        <v>32</v>
      </c>
      <c r="N63" s="5" t="s">
        <v>33</v>
      </c>
    </row>
    <row r="64" spans="1:14" ht="15.75" customHeight="1" x14ac:dyDescent="0.2">
      <c r="A64" s="5" t="s">
        <v>35</v>
      </c>
      <c r="B64" s="5">
        <v>0</v>
      </c>
      <c r="C64" s="5">
        <v>0</v>
      </c>
      <c r="D64" s="5" t="s">
        <v>99</v>
      </c>
      <c r="E64" s="5" t="s">
        <v>93</v>
      </c>
      <c r="F64" s="5" t="s">
        <v>88</v>
      </c>
      <c r="G64" s="5" t="s">
        <v>91</v>
      </c>
      <c r="H64" s="5" t="s">
        <v>60</v>
      </c>
      <c r="I64" s="5" t="s">
        <v>40</v>
      </c>
      <c r="J64" s="5" t="s">
        <v>29</v>
      </c>
      <c r="K64" s="5" t="s">
        <v>30</v>
      </c>
      <c r="L64" s="5" t="s">
        <v>31</v>
      </c>
      <c r="M64" s="5" t="s">
        <v>32</v>
      </c>
      <c r="N64" s="5" t="s">
        <v>33</v>
      </c>
    </row>
    <row r="65" spans="1:14" ht="15.75" customHeight="1" x14ac:dyDescent="0.2">
      <c r="A65" s="5" t="s">
        <v>41</v>
      </c>
      <c r="B65" s="5">
        <v>0</v>
      </c>
      <c r="C65" s="5">
        <v>0</v>
      </c>
      <c r="D65" s="5" t="s">
        <v>99</v>
      </c>
      <c r="E65" s="5" t="s">
        <v>93</v>
      </c>
      <c r="F65" s="5" t="s">
        <v>88</v>
      </c>
      <c r="G65" s="5" t="s">
        <v>90</v>
      </c>
      <c r="H65" s="5" t="s">
        <v>60</v>
      </c>
      <c r="I65" s="5" t="s">
        <v>41</v>
      </c>
      <c r="J65" s="5" t="s">
        <v>29</v>
      </c>
      <c r="K65" s="5" t="s">
        <v>30</v>
      </c>
      <c r="L65" s="5" t="s">
        <v>31</v>
      </c>
      <c r="M65" s="5" t="s">
        <v>32</v>
      </c>
      <c r="N65" s="5" t="s">
        <v>33</v>
      </c>
    </row>
    <row r="66" spans="1:14" ht="15.75" customHeight="1" x14ac:dyDescent="0.2">
      <c r="A66" s="5" t="s">
        <v>35</v>
      </c>
      <c r="B66" s="5">
        <v>0</v>
      </c>
      <c r="C66" s="5">
        <v>0</v>
      </c>
      <c r="D66" s="5" t="s">
        <v>99</v>
      </c>
      <c r="E66" s="5" t="s">
        <v>93</v>
      </c>
      <c r="F66" s="5" t="s">
        <v>88</v>
      </c>
      <c r="G66" s="5" t="s">
        <v>91</v>
      </c>
      <c r="H66" s="5" t="s">
        <v>60</v>
      </c>
      <c r="I66" s="5" t="s">
        <v>41</v>
      </c>
      <c r="J66" s="5" t="s">
        <v>29</v>
      </c>
      <c r="K66" s="5" t="s">
        <v>30</v>
      </c>
      <c r="L66" s="5" t="s">
        <v>31</v>
      </c>
      <c r="M66" s="5" t="s">
        <v>32</v>
      </c>
      <c r="N66" s="5" t="s">
        <v>33</v>
      </c>
    </row>
    <row r="67" spans="1:14" ht="15.75" customHeight="1" x14ac:dyDescent="0.2">
      <c r="A67" s="5" t="s">
        <v>42</v>
      </c>
      <c r="B67" s="5">
        <v>0</v>
      </c>
      <c r="C67" s="5">
        <v>0</v>
      </c>
      <c r="D67" s="5" t="s">
        <v>99</v>
      </c>
      <c r="E67" s="5" t="s">
        <v>93</v>
      </c>
      <c r="F67" s="5" t="s">
        <v>88</v>
      </c>
      <c r="G67" s="5" t="s">
        <v>90</v>
      </c>
      <c r="H67" s="5" t="s">
        <v>60</v>
      </c>
      <c r="I67" s="5" t="s">
        <v>42</v>
      </c>
      <c r="J67" s="5" t="s">
        <v>29</v>
      </c>
      <c r="K67" s="5" t="s">
        <v>30</v>
      </c>
      <c r="L67" s="5" t="s">
        <v>31</v>
      </c>
      <c r="M67" s="5" t="s">
        <v>32</v>
      </c>
      <c r="N67" s="5" t="s">
        <v>33</v>
      </c>
    </row>
    <row r="68" spans="1:14" ht="15.75" customHeight="1" x14ac:dyDescent="0.2">
      <c r="A68" s="5" t="s">
        <v>35</v>
      </c>
      <c r="B68" s="5">
        <v>0</v>
      </c>
      <c r="C68" s="5">
        <v>0</v>
      </c>
      <c r="D68" s="5" t="s">
        <v>99</v>
      </c>
      <c r="E68" s="5" t="s">
        <v>93</v>
      </c>
      <c r="F68" s="5" t="s">
        <v>88</v>
      </c>
      <c r="G68" s="5" t="s">
        <v>91</v>
      </c>
      <c r="H68" s="5" t="s">
        <v>60</v>
      </c>
      <c r="I68" s="5" t="s">
        <v>42</v>
      </c>
      <c r="J68" s="5" t="s">
        <v>29</v>
      </c>
      <c r="K68" s="5" t="s">
        <v>30</v>
      </c>
      <c r="L68" s="5" t="s">
        <v>31</v>
      </c>
      <c r="M68" s="5" t="s">
        <v>32</v>
      </c>
      <c r="N68" s="5" t="s">
        <v>33</v>
      </c>
    </row>
    <row r="69" spans="1:14" ht="15.75" customHeight="1" x14ac:dyDescent="0.2">
      <c r="A69" s="5" t="s">
        <v>43</v>
      </c>
      <c r="B69" s="5">
        <v>0</v>
      </c>
      <c r="C69" s="5">
        <v>0</v>
      </c>
      <c r="D69" s="5" t="s">
        <v>99</v>
      </c>
      <c r="E69" s="5" t="s">
        <v>93</v>
      </c>
      <c r="F69" s="5" t="s">
        <v>88</v>
      </c>
      <c r="G69" s="5" t="s">
        <v>90</v>
      </c>
      <c r="H69" s="5" t="s">
        <v>60</v>
      </c>
      <c r="I69" s="5" t="s">
        <v>43</v>
      </c>
      <c r="J69" s="5" t="s">
        <v>29</v>
      </c>
      <c r="K69" s="5" t="s">
        <v>30</v>
      </c>
      <c r="L69" s="5" t="s">
        <v>31</v>
      </c>
      <c r="M69" s="5" t="s">
        <v>32</v>
      </c>
      <c r="N69" s="5" t="s">
        <v>33</v>
      </c>
    </row>
    <row r="70" spans="1:14" ht="15.75" customHeight="1" x14ac:dyDescent="0.2">
      <c r="A70" s="5" t="s">
        <v>35</v>
      </c>
      <c r="B70" s="5">
        <v>0</v>
      </c>
      <c r="C70" s="5">
        <v>0</v>
      </c>
      <c r="D70" s="5" t="s">
        <v>99</v>
      </c>
      <c r="E70" s="5" t="s">
        <v>93</v>
      </c>
      <c r="F70" s="5" t="s">
        <v>88</v>
      </c>
      <c r="G70" s="5" t="s">
        <v>91</v>
      </c>
      <c r="H70" s="5" t="s">
        <v>60</v>
      </c>
      <c r="I70" s="5" t="s">
        <v>43</v>
      </c>
      <c r="J70" s="5" t="s">
        <v>29</v>
      </c>
      <c r="K70" s="5" t="s">
        <v>30</v>
      </c>
      <c r="L70" s="5" t="s">
        <v>31</v>
      </c>
      <c r="M70" s="5" t="s">
        <v>32</v>
      </c>
      <c r="N70" s="5" t="s">
        <v>33</v>
      </c>
    </row>
    <row r="71" spans="1:14" ht="15.75" customHeight="1" x14ac:dyDescent="0.2">
      <c r="A71" s="5" t="s">
        <v>44</v>
      </c>
      <c r="B71" s="5">
        <v>0</v>
      </c>
      <c r="C71" s="5">
        <v>0</v>
      </c>
      <c r="D71" s="5" t="s">
        <v>99</v>
      </c>
      <c r="E71" s="5" t="s">
        <v>93</v>
      </c>
      <c r="F71" s="5" t="s">
        <v>88</v>
      </c>
      <c r="G71" s="5" t="s">
        <v>90</v>
      </c>
      <c r="H71" s="5" t="s">
        <v>60</v>
      </c>
      <c r="I71" s="5" t="s">
        <v>44</v>
      </c>
      <c r="J71" s="5" t="s">
        <v>29</v>
      </c>
      <c r="K71" s="5" t="s">
        <v>30</v>
      </c>
      <c r="L71" s="5" t="s">
        <v>31</v>
      </c>
      <c r="M71" s="5" t="s">
        <v>32</v>
      </c>
      <c r="N71" s="5" t="s">
        <v>33</v>
      </c>
    </row>
    <row r="72" spans="1:14" ht="15.75" customHeight="1" x14ac:dyDescent="0.2">
      <c r="A72" s="5" t="s">
        <v>35</v>
      </c>
      <c r="B72" s="5">
        <v>0</v>
      </c>
      <c r="C72" s="5">
        <v>0</v>
      </c>
      <c r="D72" s="5" t="s">
        <v>99</v>
      </c>
      <c r="E72" s="5" t="s">
        <v>93</v>
      </c>
      <c r="F72" s="5" t="s">
        <v>88</v>
      </c>
      <c r="G72" s="5" t="s">
        <v>91</v>
      </c>
      <c r="H72" s="5" t="s">
        <v>60</v>
      </c>
      <c r="I72" s="5" t="s">
        <v>44</v>
      </c>
      <c r="J72" s="5" t="s">
        <v>29</v>
      </c>
      <c r="K72" s="5" t="s">
        <v>30</v>
      </c>
      <c r="L72" s="5" t="s">
        <v>31</v>
      </c>
      <c r="M72" s="5" t="s">
        <v>32</v>
      </c>
      <c r="N72" s="5" t="s">
        <v>33</v>
      </c>
    </row>
    <row r="73" spans="1:14" ht="15.75" customHeight="1" x14ac:dyDescent="0.2">
      <c r="A73" s="5" t="s">
        <v>45</v>
      </c>
      <c r="B73" s="5">
        <v>0</v>
      </c>
      <c r="C73" s="5">
        <v>0</v>
      </c>
      <c r="D73" s="5" t="s">
        <v>99</v>
      </c>
      <c r="E73" s="5" t="s">
        <v>93</v>
      </c>
      <c r="F73" s="5" t="s">
        <v>88</v>
      </c>
      <c r="G73" s="5" t="s">
        <v>90</v>
      </c>
      <c r="H73" s="5" t="s">
        <v>60</v>
      </c>
      <c r="I73" s="5" t="s">
        <v>45</v>
      </c>
      <c r="J73" s="5" t="s">
        <v>29</v>
      </c>
      <c r="K73" s="5" t="s">
        <v>30</v>
      </c>
      <c r="L73" s="5" t="s">
        <v>31</v>
      </c>
      <c r="M73" s="5" t="s">
        <v>32</v>
      </c>
      <c r="N73" s="5" t="s">
        <v>33</v>
      </c>
    </row>
    <row r="74" spans="1:14" ht="15.75" customHeight="1" x14ac:dyDescent="0.2">
      <c r="A74" s="5" t="s">
        <v>35</v>
      </c>
      <c r="B74" s="5">
        <v>0</v>
      </c>
      <c r="C74" s="5">
        <v>0</v>
      </c>
      <c r="D74" s="5" t="s">
        <v>99</v>
      </c>
      <c r="E74" s="5" t="s">
        <v>93</v>
      </c>
      <c r="F74" s="5" t="s">
        <v>88</v>
      </c>
      <c r="G74" s="5" t="s">
        <v>91</v>
      </c>
      <c r="H74" s="5" t="s">
        <v>60</v>
      </c>
      <c r="I74" s="5" t="s">
        <v>45</v>
      </c>
      <c r="J74" s="5" t="s">
        <v>29</v>
      </c>
      <c r="K74" s="5" t="s">
        <v>30</v>
      </c>
      <c r="L74" s="5" t="s">
        <v>31</v>
      </c>
      <c r="M74" s="5" t="s">
        <v>32</v>
      </c>
      <c r="N74" s="5" t="s">
        <v>33</v>
      </c>
    </row>
    <row r="75" spans="1:14" ht="15.75" customHeight="1" x14ac:dyDescent="0.2">
      <c r="A75" s="5" t="s">
        <v>46</v>
      </c>
      <c r="B75" s="5">
        <v>0</v>
      </c>
      <c r="C75" s="5">
        <v>0</v>
      </c>
      <c r="D75" s="5" t="s">
        <v>99</v>
      </c>
      <c r="E75" s="5" t="s">
        <v>93</v>
      </c>
      <c r="F75" s="5" t="s">
        <v>88</v>
      </c>
      <c r="G75" s="5" t="s">
        <v>90</v>
      </c>
      <c r="H75" s="5" t="s">
        <v>60</v>
      </c>
      <c r="I75" s="5" t="s">
        <v>46</v>
      </c>
      <c r="J75" s="5" t="s">
        <v>29</v>
      </c>
      <c r="K75" s="5" t="s">
        <v>30</v>
      </c>
      <c r="L75" s="5" t="s">
        <v>31</v>
      </c>
      <c r="M75" s="5" t="s">
        <v>32</v>
      </c>
      <c r="N75" s="5" t="s">
        <v>33</v>
      </c>
    </row>
    <row r="76" spans="1:14" ht="15.75" customHeight="1" x14ac:dyDescent="0.2">
      <c r="A76" s="5" t="s">
        <v>35</v>
      </c>
      <c r="B76" s="5">
        <v>0</v>
      </c>
      <c r="C76" s="5">
        <v>0</v>
      </c>
      <c r="D76" s="5" t="s">
        <v>99</v>
      </c>
      <c r="E76" s="5" t="s">
        <v>93</v>
      </c>
      <c r="F76" s="5" t="s">
        <v>88</v>
      </c>
      <c r="G76" s="5" t="s">
        <v>91</v>
      </c>
      <c r="H76" s="5" t="s">
        <v>60</v>
      </c>
      <c r="I76" s="5" t="s">
        <v>46</v>
      </c>
      <c r="J76" s="5" t="s">
        <v>29</v>
      </c>
      <c r="K76" s="5" t="s">
        <v>30</v>
      </c>
      <c r="L76" s="5" t="s">
        <v>31</v>
      </c>
      <c r="M76" s="5" t="s">
        <v>32</v>
      </c>
      <c r="N76" s="5" t="s">
        <v>33</v>
      </c>
    </row>
    <row r="77" spans="1:14" ht="15.75" customHeight="1" x14ac:dyDescent="0.2">
      <c r="A77" s="5" t="s">
        <v>87</v>
      </c>
      <c r="B77" s="5">
        <v>1</v>
      </c>
      <c r="C77" s="5">
        <v>72</v>
      </c>
      <c r="D77" s="5" t="s">
        <v>100</v>
      </c>
      <c r="E77" s="5" t="s">
        <v>93</v>
      </c>
      <c r="F77" s="5" t="s">
        <v>88</v>
      </c>
      <c r="G77" s="5" t="s">
        <v>89</v>
      </c>
      <c r="H77" s="5" t="s">
        <v>61</v>
      </c>
      <c r="I77" s="5" t="s">
        <v>87</v>
      </c>
      <c r="J77" s="5" t="s">
        <v>29</v>
      </c>
      <c r="K77" s="5" t="s">
        <v>30</v>
      </c>
      <c r="L77" s="5" t="s">
        <v>31</v>
      </c>
      <c r="M77" s="5" t="s">
        <v>32</v>
      </c>
      <c r="N77" s="5" t="s">
        <v>33</v>
      </c>
    </row>
    <row r="78" spans="1:14" ht="15.75" customHeight="1" x14ac:dyDescent="0.2">
      <c r="A78" s="5" t="s">
        <v>34</v>
      </c>
      <c r="B78" s="5">
        <v>0</v>
      </c>
      <c r="C78" s="5">
        <v>0</v>
      </c>
      <c r="D78" s="5" t="s">
        <v>100</v>
      </c>
      <c r="E78" s="5" t="s">
        <v>93</v>
      </c>
      <c r="F78" s="5" t="s">
        <v>88</v>
      </c>
      <c r="G78" s="5" t="s">
        <v>90</v>
      </c>
      <c r="H78" s="5" t="s">
        <v>61</v>
      </c>
      <c r="I78" s="5" t="s">
        <v>34</v>
      </c>
      <c r="J78" s="5" t="s">
        <v>29</v>
      </c>
      <c r="K78" s="5" t="s">
        <v>30</v>
      </c>
      <c r="L78" s="5" t="s">
        <v>31</v>
      </c>
      <c r="M78" s="5" t="s">
        <v>32</v>
      </c>
      <c r="N78" s="5" t="s">
        <v>33</v>
      </c>
    </row>
    <row r="79" spans="1:14" ht="15.75" customHeight="1" x14ac:dyDescent="0.2">
      <c r="A79" s="5" t="s">
        <v>35</v>
      </c>
      <c r="B79" s="5">
        <v>0</v>
      </c>
      <c r="C79" s="5">
        <v>0</v>
      </c>
      <c r="D79" s="5" t="s">
        <v>100</v>
      </c>
      <c r="E79" s="5" t="s">
        <v>93</v>
      </c>
      <c r="F79" s="5" t="s">
        <v>88</v>
      </c>
      <c r="G79" s="5" t="s">
        <v>91</v>
      </c>
      <c r="H79" s="5" t="s">
        <v>61</v>
      </c>
      <c r="I79" s="5" t="s">
        <v>34</v>
      </c>
      <c r="J79" s="5" t="s">
        <v>29</v>
      </c>
      <c r="K79" s="5" t="s">
        <v>30</v>
      </c>
      <c r="L79" s="5" t="s">
        <v>31</v>
      </c>
      <c r="M79" s="5" t="s">
        <v>32</v>
      </c>
      <c r="N79" s="5" t="s">
        <v>33</v>
      </c>
    </row>
    <row r="80" spans="1:14" ht="15.75" customHeight="1" x14ac:dyDescent="0.2">
      <c r="A80" s="5" t="s">
        <v>36</v>
      </c>
      <c r="B80" s="5">
        <v>1</v>
      </c>
      <c r="C80" s="5">
        <v>72</v>
      </c>
      <c r="D80" s="5" t="s">
        <v>100</v>
      </c>
      <c r="E80" s="5" t="s">
        <v>93</v>
      </c>
      <c r="F80" s="5" t="s">
        <v>88</v>
      </c>
      <c r="G80" s="5" t="s">
        <v>90</v>
      </c>
      <c r="H80" s="5" t="s">
        <v>61</v>
      </c>
      <c r="I80" s="5" t="s">
        <v>36</v>
      </c>
      <c r="J80" s="5" t="s">
        <v>29</v>
      </c>
      <c r="K80" s="5" t="s">
        <v>30</v>
      </c>
      <c r="L80" s="5" t="s">
        <v>31</v>
      </c>
      <c r="M80" s="5" t="s">
        <v>32</v>
      </c>
      <c r="N80" s="5" t="s">
        <v>33</v>
      </c>
    </row>
    <row r="81" spans="1:14" ht="15.75" customHeight="1" x14ac:dyDescent="0.2">
      <c r="A81" s="5" t="s">
        <v>35</v>
      </c>
      <c r="B81" s="5">
        <v>1</v>
      </c>
      <c r="C81" s="5">
        <v>72</v>
      </c>
      <c r="D81" s="5" t="s">
        <v>100</v>
      </c>
      <c r="E81" s="5" t="s">
        <v>93</v>
      </c>
      <c r="F81" s="5" t="s">
        <v>88</v>
      </c>
      <c r="G81" s="5" t="s">
        <v>91</v>
      </c>
      <c r="H81" s="5" t="s">
        <v>61</v>
      </c>
      <c r="I81" s="5" t="s">
        <v>36</v>
      </c>
      <c r="J81" s="5" t="s">
        <v>29</v>
      </c>
      <c r="K81" s="5" t="s">
        <v>30</v>
      </c>
      <c r="L81" s="5" t="s">
        <v>31</v>
      </c>
      <c r="M81" s="5" t="s">
        <v>32</v>
      </c>
      <c r="N81" s="5" t="s">
        <v>33</v>
      </c>
    </row>
    <row r="82" spans="1:14" ht="15.75" customHeight="1" x14ac:dyDescent="0.2">
      <c r="A82" s="5" t="s">
        <v>37</v>
      </c>
      <c r="B82" s="5">
        <v>0</v>
      </c>
      <c r="C82" s="5">
        <v>0</v>
      </c>
      <c r="D82" s="5" t="s">
        <v>100</v>
      </c>
      <c r="E82" s="5" t="s">
        <v>93</v>
      </c>
      <c r="F82" s="5" t="s">
        <v>88</v>
      </c>
      <c r="G82" s="5" t="s">
        <v>90</v>
      </c>
      <c r="H82" s="5" t="s">
        <v>61</v>
      </c>
      <c r="I82" s="5" t="s">
        <v>37</v>
      </c>
      <c r="J82" s="5" t="s">
        <v>29</v>
      </c>
      <c r="K82" s="5" t="s">
        <v>30</v>
      </c>
      <c r="L82" s="5" t="s">
        <v>31</v>
      </c>
      <c r="M82" s="5" t="s">
        <v>32</v>
      </c>
      <c r="N82" s="5" t="s">
        <v>33</v>
      </c>
    </row>
    <row r="83" spans="1:14" ht="15.75" customHeight="1" x14ac:dyDescent="0.2">
      <c r="A83" s="5" t="s">
        <v>35</v>
      </c>
      <c r="B83" s="5">
        <v>0</v>
      </c>
      <c r="C83" s="5">
        <v>0</v>
      </c>
      <c r="D83" s="5" t="s">
        <v>100</v>
      </c>
      <c r="E83" s="5" t="s">
        <v>93</v>
      </c>
      <c r="F83" s="5" t="s">
        <v>88</v>
      </c>
      <c r="G83" s="5" t="s">
        <v>91</v>
      </c>
      <c r="H83" s="5" t="s">
        <v>61</v>
      </c>
      <c r="I83" s="5" t="s">
        <v>37</v>
      </c>
      <c r="J83" s="5" t="s">
        <v>29</v>
      </c>
      <c r="K83" s="5" t="s">
        <v>30</v>
      </c>
      <c r="L83" s="5" t="s">
        <v>31</v>
      </c>
      <c r="M83" s="5" t="s">
        <v>32</v>
      </c>
      <c r="N83" s="5" t="s">
        <v>33</v>
      </c>
    </row>
    <row r="84" spans="1:14" ht="15.75" customHeight="1" x14ac:dyDescent="0.2">
      <c r="A84" s="5" t="s">
        <v>38</v>
      </c>
      <c r="B84" s="5">
        <v>0</v>
      </c>
      <c r="C84" s="5">
        <v>0</v>
      </c>
      <c r="D84" s="5" t="s">
        <v>100</v>
      </c>
      <c r="E84" s="5" t="s">
        <v>93</v>
      </c>
      <c r="F84" s="5" t="s">
        <v>88</v>
      </c>
      <c r="G84" s="5" t="s">
        <v>90</v>
      </c>
      <c r="H84" s="5" t="s">
        <v>61</v>
      </c>
      <c r="I84" s="5" t="s">
        <v>38</v>
      </c>
      <c r="J84" s="5" t="s">
        <v>29</v>
      </c>
      <c r="K84" s="5" t="s">
        <v>30</v>
      </c>
      <c r="L84" s="5" t="s">
        <v>31</v>
      </c>
      <c r="M84" s="5" t="s">
        <v>32</v>
      </c>
      <c r="N84" s="5" t="s">
        <v>33</v>
      </c>
    </row>
    <row r="85" spans="1:14" ht="15.75" customHeight="1" x14ac:dyDescent="0.2">
      <c r="A85" s="5" t="s">
        <v>35</v>
      </c>
      <c r="B85" s="5">
        <v>0</v>
      </c>
      <c r="C85" s="5">
        <v>0</v>
      </c>
      <c r="D85" s="5" t="s">
        <v>100</v>
      </c>
      <c r="E85" s="5" t="s">
        <v>93</v>
      </c>
      <c r="F85" s="5" t="s">
        <v>88</v>
      </c>
      <c r="G85" s="5" t="s">
        <v>91</v>
      </c>
      <c r="H85" s="5" t="s">
        <v>61</v>
      </c>
      <c r="I85" s="5" t="s">
        <v>38</v>
      </c>
      <c r="J85" s="5" t="s">
        <v>29</v>
      </c>
      <c r="K85" s="5" t="s">
        <v>30</v>
      </c>
      <c r="L85" s="5" t="s">
        <v>31</v>
      </c>
      <c r="M85" s="5" t="s">
        <v>32</v>
      </c>
      <c r="N85" s="5" t="s">
        <v>33</v>
      </c>
    </row>
    <row r="86" spans="1:14" ht="15.75" customHeight="1" x14ac:dyDescent="0.2">
      <c r="A86" s="5" t="s">
        <v>39</v>
      </c>
      <c r="B86" s="5">
        <v>0</v>
      </c>
      <c r="C86" s="5">
        <v>0</v>
      </c>
      <c r="D86" s="5" t="s">
        <v>100</v>
      </c>
      <c r="E86" s="5" t="s">
        <v>93</v>
      </c>
      <c r="F86" s="5" t="s">
        <v>88</v>
      </c>
      <c r="G86" s="5" t="s">
        <v>90</v>
      </c>
      <c r="H86" s="5" t="s">
        <v>61</v>
      </c>
      <c r="I86" s="5" t="s">
        <v>39</v>
      </c>
      <c r="J86" s="5" t="s">
        <v>29</v>
      </c>
      <c r="K86" s="5" t="s">
        <v>30</v>
      </c>
      <c r="L86" s="5" t="s">
        <v>31</v>
      </c>
      <c r="M86" s="5" t="s">
        <v>32</v>
      </c>
      <c r="N86" s="5" t="s">
        <v>33</v>
      </c>
    </row>
    <row r="87" spans="1:14" ht="15.75" customHeight="1" x14ac:dyDescent="0.2">
      <c r="A87" s="5" t="s">
        <v>35</v>
      </c>
      <c r="B87" s="5">
        <v>0</v>
      </c>
      <c r="C87" s="5">
        <v>0</v>
      </c>
      <c r="D87" s="5" t="s">
        <v>100</v>
      </c>
      <c r="E87" s="5" t="s">
        <v>93</v>
      </c>
      <c r="F87" s="5" t="s">
        <v>88</v>
      </c>
      <c r="G87" s="5" t="s">
        <v>91</v>
      </c>
      <c r="H87" s="5" t="s">
        <v>61</v>
      </c>
      <c r="I87" s="5" t="s">
        <v>39</v>
      </c>
      <c r="J87" s="5" t="s">
        <v>29</v>
      </c>
      <c r="K87" s="5" t="s">
        <v>30</v>
      </c>
      <c r="L87" s="5" t="s">
        <v>31</v>
      </c>
      <c r="M87" s="5" t="s">
        <v>32</v>
      </c>
      <c r="N87" s="5" t="s">
        <v>33</v>
      </c>
    </row>
    <row r="88" spans="1:14" ht="15.75" customHeight="1" x14ac:dyDescent="0.2">
      <c r="A88" s="5" t="s">
        <v>40</v>
      </c>
      <c r="B88" s="5">
        <v>0</v>
      </c>
      <c r="C88" s="5">
        <v>0</v>
      </c>
      <c r="D88" s="5" t="s">
        <v>100</v>
      </c>
      <c r="E88" s="5" t="s">
        <v>93</v>
      </c>
      <c r="F88" s="5" t="s">
        <v>88</v>
      </c>
      <c r="G88" s="5" t="s">
        <v>90</v>
      </c>
      <c r="H88" s="5" t="s">
        <v>61</v>
      </c>
      <c r="I88" s="5" t="s">
        <v>40</v>
      </c>
      <c r="J88" s="5" t="s">
        <v>29</v>
      </c>
      <c r="K88" s="5" t="s">
        <v>30</v>
      </c>
      <c r="L88" s="5" t="s">
        <v>31</v>
      </c>
      <c r="M88" s="5" t="s">
        <v>32</v>
      </c>
      <c r="N88" s="5" t="s">
        <v>33</v>
      </c>
    </row>
    <row r="89" spans="1:14" ht="15.75" customHeight="1" x14ac:dyDescent="0.2">
      <c r="A89" s="5" t="s">
        <v>35</v>
      </c>
      <c r="B89" s="5">
        <v>0</v>
      </c>
      <c r="C89" s="5">
        <v>0</v>
      </c>
      <c r="D89" s="5" t="s">
        <v>100</v>
      </c>
      <c r="E89" s="5" t="s">
        <v>93</v>
      </c>
      <c r="F89" s="5" t="s">
        <v>88</v>
      </c>
      <c r="G89" s="5" t="s">
        <v>91</v>
      </c>
      <c r="H89" s="5" t="s">
        <v>61</v>
      </c>
      <c r="I89" s="5" t="s">
        <v>40</v>
      </c>
      <c r="J89" s="5" t="s">
        <v>29</v>
      </c>
      <c r="K89" s="5" t="s">
        <v>30</v>
      </c>
      <c r="L89" s="5" t="s">
        <v>31</v>
      </c>
      <c r="M89" s="5" t="s">
        <v>32</v>
      </c>
      <c r="N89" s="5" t="s">
        <v>33</v>
      </c>
    </row>
    <row r="90" spans="1:14" ht="15.75" customHeight="1" x14ac:dyDescent="0.2">
      <c r="A90" s="5" t="s">
        <v>41</v>
      </c>
      <c r="B90" s="5">
        <v>0</v>
      </c>
      <c r="C90" s="5">
        <v>0</v>
      </c>
      <c r="D90" s="5" t="s">
        <v>100</v>
      </c>
      <c r="E90" s="5" t="s">
        <v>93</v>
      </c>
      <c r="F90" s="5" t="s">
        <v>88</v>
      </c>
      <c r="G90" s="5" t="s">
        <v>90</v>
      </c>
      <c r="H90" s="5" t="s">
        <v>61</v>
      </c>
      <c r="I90" s="5" t="s">
        <v>41</v>
      </c>
      <c r="J90" s="5" t="s">
        <v>29</v>
      </c>
      <c r="K90" s="5" t="s">
        <v>30</v>
      </c>
      <c r="L90" s="5" t="s">
        <v>31</v>
      </c>
      <c r="M90" s="5" t="s">
        <v>32</v>
      </c>
      <c r="N90" s="5" t="s">
        <v>33</v>
      </c>
    </row>
    <row r="91" spans="1:14" ht="15.75" customHeight="1" x14ac:dyDescent="0.2">
      <c r="A91" s="5" t="s">
        <v>35</v>
      </c>
      <c r="B91" s="5">
        <v>0</v>
      </c>
      <c r="C91" s="5">
        <v>0</v>
      </c>
      <c r="D91" s="5" t="s">
        <v>100</v>
      </c>
      <c r="E91" s="5" t="s">
        <v>93</v>
      </c>
      <c r="F91" s="5" t="s">
        <v>88</v>
      </c>
      <c r="G91" s="5" t="s">
        <v>91</v>
      </c>
      <c r="H91" s="5" t="s">
        <v>61</v>
      </c>
      <c r="I91" s="5" t="s">
        <v>41</v>
      </c>
      <c r="J91" s="5" t="s">
        <v>29</v>
      </c>
      <c r="K91" s="5" t="s">
        <v>30</v>
      </c>
      <c r="L91" s="5" t="s">
        <v>31</v>
      </c>
      <c r="M91" s="5" t="s">
        <v>32</v>
      </c>
      <c r="N91" s="5" t="s">
        <v>33</v>
      </c>
    </row>
    <row r="92" spans="1:14" ht="15.75" customHeight="1" x14ac:dyDescent="0.2">
      <c r="A92" s="5" t="s">
        <v>42</v>
      </c>
      <c r="B92" s="5">
        <v>0</v>
      </c>
      <c r="C92" s="5">
        <v>0</v>
      </c>
      <c r="D92" s="5" t="s">
        <v>100</v>
      </c>
      <c r="E92" s="5" t="s">
        <v>93</v>
      </c>
      <c r="F92" s="5" t="s">
        <v>88</v>
      </c>
      <c r="G92" s="5" t="s">
        <v>90</v>
      </c>
      <c r="H92" s="5" t="s">
        <v>61</v>
      </c>
      <c r="I92" s="5" t="s">
        <v>42</v>
      </c>
      <c r="J92" s="5" t="s">
        <v>29</v>
      </c>
      <c r="K92" s="5" t="s">
        <v>30</v>
      </c>
      <c r="L92" s="5" t="s">
        <v>31</v>
      </c>
      <c r="M92" s="5" t="s">
        <v>32</v>
      </c>
      <c r="N92" s="5" t="s">
        <v>33</v>
      </c>
    </row>
    <row r="93" spans="1:14" ht="15.75" customHeight="1" x14ac:dyDescent="0.2">
      <c r="A93" s="5" t="s">
        <v>35</v>
      </c>
      <c r="B93" s="5">
        <v>0</v>
      </c>
      <c r="C93" s="5">
        <v>0</v>
      </c>
      <c r="D93" s="5" t="s">
        <v>100</v>
      </c>
      <c r="E93" s="5" t="s">
        <v>93</v>
      </c>
      <c r="F93" s="5" t="s">
        <v>88</v>
      </c>
      <c r="G93" s="5" t="s">
        <v>91</v>
      </c>
      <c r="H93" s="5" t="s">
        <v>61</v>
      </c>
      <c r="I93" s="5" t="s">
        <v>42</v>
      </c>
      <c r="J93" s="5" t="s">
        <v>29</v>
      </c>
      <c r="K93" s="5" t="s">
        <v>30</v>
      </c>
      <c r="L93" s="5" t="s">
        <v>31</v>
      </c>
      <c r="M93" s="5" t="s">
        <v>32</v>
      </c>
      <c r="N93" s="5" t="s">
        <v>33</v>
      </c>
    </row>
    <row r="94" spans="1:14" ht="15.75" customHeight="1" x14ac:dyDescent="0.2">
      <c r="A94" s="5" t="s">
        <v>43</v>
      </c>
      <c r="B94" s="5">
        <v>0</v>
      </c>
      <c r="C94" s="5">
        <v>0</v>
      </c>
      <c r="D94" s="5" t="s">
        <v>100</v>
      </c>
      <c r="E94" s="5" t="s">
        <v>93</v>
      </c>
      <c r="F94" s="5" t="s">
        <v>88</v>
      </c>
      <c r="G94" s="5" t="s">
        <v>90</v>
      </c>
      <c r="H94" s="5" t="s">
        <v>61</v>
      </c>
      <c r="I94" s="5" t="s">
        <v>43</v>
      </c>
      <c r="J94" s="5" t="s">
        <v>29</v>
      </c>
      <c r="K94" s="5" t="s">
        <v>30</v>
      </c>
      <c r="L94" s="5" t="s">
        <v>31</v>
      </c>
      <c r="M94" s="5" t="s">
        <v>32</v>
      </c>
      <c r="N94" s="5" t="s">
        <v>33</v>
      </c>
    </row>
    <row r="95" spans="1:14" ht="15.75" customHeight="1" x14ac:dyDescent="0.2">
      <c r="A95" s="5" t="s">
        <v>35</v>
      </c>
      <c r="B95" s="5">
        <v>0</v>
      </c>
      <c r="C95" s="5">
        <v>0</v>
      </c>
      <c r="D95" s="5" t="s">
        <v>100</v>
      </c>
      <c r="E95" s="5" t="s">
        <v>93</v>
      </c>
      <c r="F95" s="5" t="s">
        <v>88</v>
      </c>
      <c r="G95" s="5" t="s">
        <v>91</v>
      </c>
      <c r="H95" s="5" t="s">
        <v>61</v>
      </c>
      <c r="I95" s="5" t="s">
        <v>43</v>
      </c>
      <c r="J95" s="5" t="s">
        <v>29</v>
      </c>
      <c r="K95" s="5" t="s">
        <v>30</v>
      </c>
      <c r="L95" s="5" t="s">
        <v>31</v>
      </c>
      <c r="M95" s="5" t="s">
        <v>32</v>
      </c>
      <c r="N95" s="5" t="s">
        <v>33</v>
      </c>
    </row>
    <row r="96" spans="1:14" ht="15.75" customHeight="1" x14ac:dyDescent="0.2">
      <c r="A96" s="5" t="s">
        <v>44</v>
      </c>
      <c r="B96" s="5">
        <v>0</v>
      </c>
      <c r="C96" s="5">
        <v>0</v>
      </c>
      <c r="D96" s="5" t="s">
        <v>100</v>
      </c>
      <c r="E96" s="5" t="s">
        <v>93</v>
      </c>
      <c r="F96" s="5" t="s">
        <v>88</v>
      </c>
      <c r="G96" s="5" t="s">
        <v>90</v>
      </c>
      <c r="H96" s="5" t="s">
        <v>61</v>
      </c>
      <c r="I96" s="5" t="s">
        <v>44</v>
      </c>
      <c r="J96" s="5" t="s">
        <v>29</v>
      </c>
      <c r="K96" s="5" t="s">
        <v>30</v>
      </c>
      <c r="L96" s="5" t="s">
        <v>31</v>
      </c>
      <c r="M96" s="5" t="s">
        <v>32</v>
      </c>
      <c r="N96" s="5" t="s">
        <v>33</v>
      </c>
    </row>
    <row r="97" spans="1:14" ht="15.75" customHeight="1" x14ac:dyDescent="0.2">
      <c r="A97" s="5" t="s">
        <v>35</v>
      </c>
      <c r="B97" s="5">
        <v>0</v>
      </c>
      <c r="C97" s="5">
        <v>0</v>
      </c>
      <c r="D97" s="5" t="s">
        <v>100</v>
      </c>
      <c r="E97" s="5" t="s">
        <v>93</v>
      </c>
      <c r="F97" s="5" t="s">
        <v>88</v>
      </c>
      <c r="G97" s="5" t="s">
        <v>91</v>
      </c>
      <c r="H97" s="5" t="s">
        <v>61</v>
      </c>
      <c r="I97" s="5" t="s">
        <v>44</v>
      </c>
      <c r="J97" s="5" t="s">
        <v>29</v>
      </c>
      <c r="K97" s="5" t="s">
        <v>30</v>
      </c>
      <c r="L97" s="5" t="s">
        <v>31</v>
      </c>
      <c r="M97" s="5" t="s">
        <v>32</v>
      </c>
      <c r="N97" s="5" t="s">
        <v>33</v>
      </c>
    </row>
    <row r="98" spans="1:14" ht="15.75" customHeight="1" x14ac:dyDescent="0.2">
      <c r="A98" s="5" t="s">
        <v>45</v>
      </c>
      <c r="B98" s="5">
        <v>0</v>
      </c>
      <c r="C98" s="5">
        <v>0</v>
      </c>
      <c r="D98" s="5" t="s">
        <v>100</v>
      </c>
      <c r="E98" s="5" t="s">
        <v>93</v>
      </c>
      <c r="F98" s="5" t="s">
        <v>88</v>
      </c>
      <c r="G98" s="5" t="s">
        <v>90</v>
      </c>
      <c r="H98" s="5" t="s">
        <v>61</v>
      </c>
      <c r="I98" s="5" t="s">
        <v>45</v>
      </c>
      <c r="J98" s="5" t="s">
        <v>29</v>
      </c>
      <c r="K98" s="5" t="s">
        <v>30</v>
      </c>
      <c r="L98" s="5" t="s">
        <v>31</v>
      </c>
      <c r="M98" s="5" t="s">
        <v>32</v>
      </c>
      <c r="N98" s="5" t="s">
        <v>33</v>
      </c>
    </row>
    <row r="99" spans="1:14" ht="15.75" customHeight="1" x14ac:dyDescent="0.2">
      <c r="A99" s="5" t="s">
        <v>35</v>
      </c>
      <c r="B99" s="5">
        <v>0</v>
      </c>
      <c r="C99" s="5">
        <v>0</v>
      </c>
      <c r="D99" s="5" t="s">
        <v>100</v>
      </c>
      <c r="E99" s="5" t="s">
        <v>93</v>
      </c>
      <c r="F99" s="5" t="s">
        <v>88</v>
      </c>
      <c r="G99" s="5" t="s">
        <v>91</v>
      </c>
      <c r="H99" s="5" t="s">
        <v>61</v>
      </c>
      <c r="I99" s="5" t="s">
        <v>45</v>
      </c>
      <c r="J99" s="5" t="s">
        <v>29</v>
      </c>
      <c r="K99" s="5" t="s">
        <v>30</v>
      </c>
      <c r="L99" s="5" t="s">
        <v>31</v>
      </c>
      <c r="M99" s="5" t="s">
        <v>32</v>
      </c>
      <c r="N99" s="5" t="s">
        <v>33</v>
      </c>
    </row>
    <row r="100" spans="1:14" ht="15.75" customHeight="1" x14ac:dyDescent="0.2">
      <c r="A100" s="5" t="s">
        <v>46</v>
      </c>
      <c r="B100" s="5">
        <v>0</v>
      </c>
      <c r="C100" s="5">
        <v>0</v>
      </c>
      <c r="D100" s="5" t="s">
        <v>100</v>
      </c>
      <c r="E100" s="5" t="s">
        <v>93</v>
      </c>
      <c r="F100" s="5" t="s">
        <v>88</v>
      </c>
      <c r="G100" s="5" t="s">
        <v>90</v>
      </c>
      <c r="H100" s="5" t="s">
        <v>61</v>
      </c>
      <c r="I100" s="5" t="s">
        <v>46</v>
      </c>
      <c r="J100" s="5" t="s">
        <v>29</v>
      </c>
      <c r="K100" s="5" t="s">
        <v>30</v>
      </c>
      <c r="L100" s="5" t="s">
        <v>31</v>
      </c>
      <c r="M100" s="5" t="s">
        <v>32</v>
      </c>
      <c r="N100" s="5" t="s">
        <v>33</v>
      </c>
    </row>
    <row r="101" spans="1:14" ht="15.75" customHeight="1" x14ac:dyDescent="0.2">
      <c r="A101" s="5" t="s">
        <v>35</v>
      </c>
      <c r="B101" s="5">
        <v>0</v>
      </c>
      <c r="C101" s="5">
        <v>0</v>
      </c>
      <c r="D101" s="5" t="s">
        <v>100</v>
      </c>
      <c r="E101" s="5" t="s">
        <v>93</v>
      </c>
      <c r="F101" s="5" t="s">
        <v>88</v>
      </c>
      <c r="G101" s="5" t="s">
        <v>91</v>
      </c>
      <c r="H101" s="5" t="s">
        <v>61</v>
      </c>
      <c r="I101" s="5" t="s">
        <v>46</v>
      </c>
      <c r="J101" s="5" t="s">
        <v>29</v>
      </c>
      <c r="K101" s="5" t="s">
        <v>30</v>
      </c>
      <c r="L101" s="5" t="s">
        <v>31</v>
      </c>
      <c r="M101" s="5" t="s">
        <v>32</v>
      </c>
      <c r="N101" s="5" t="s">
        <v>33</v>
      </c>
    </row>
    <row r="102" spans="1:14" ht="15.75" customHeight="1" x14ac:dyDescent="0.2">
      <c r="A102" s="5" t="s">
        <v>87</v>
      </c>
      <c r="B102" s="5">
        <v>0</v>
      </c>
      <c r="C102" s="5">
        <v>0</v>
      </c>
      <c r="D102" s="5" t="s">
        <v>101</v>
      </c>
      <c r="E102" s="5" t="s">
        <v>93</v>
      </c>
      <c r="F102" s="5" t="s">
        <v>88</v>
      </c>
      <c r="G102" s="5" t="s">
        <v>89</v>
      </c>
      <c r="H102" s="5" t="s">
        <v>60</v>
      </c>
      <c r="I102" s="5" t="s">
        <v>87</v>
      </c>
      <c r="J102" s="5" t="s">
        <v>29</v>
      </c>
      <c r="K102" s="5" t="s">
        <v>30</v>
      </c>
      <c r="L102" s="5" t="s">
        <v>31</v>
      </c>
      <c r="M102" s="5" t="s">
        <v>32</v>
      </c>
      <c r="N102" s="5" t="s">
        <v>33</v>
      </c>
    </row>
    <row r="103" spans="1:14" ht="15.75" customHeight="1" x14ac:dyDescent="0.2">
      <c r="A103" s="5" t="s">
        <v>34</v>
      </c>
      <c r="B103" s="5">
        <v>0</v>
      </c>
      <c r="C103" s="5">
        <v>0</v>
      </c>
      <c r="D103" s="5" t="s">
        <v>101</v>
      </c>
      <c r="E103" s="5" t="s">
        <v>93</v>
      </c>
      <c r="F103" s="5" t="s">
        <v>88</v>
      </c>
      <c r="G103" s="5" t="s">
        <v>90</v>
      </c>
      <c r="H103" s="5" t="s">
        <v>60</v>
      </c>
      <c r="I103" s="5" t="s">
        <v>34</v>
      </c>
      <c r="J103" s="5" t="s">
        <v>29</v>
      </c>
      <c r="K103" s="5" t="s">
        <v>30</v>
      </c>
      <c r="L103" s="5" t="s">
        <v>31</v>
      </c>
      <c r="M103" s="5" t="s">
        <v>32</v>
      </c>
      <c r="N103" s="5" t="s">
        <v>33</v>
      </c>
    </row>
    <row r="104" spans="1:14" ht="15.75" customHeight="1" x14ac:dyDescent="0.2">
      <c r="A104" s="5" t="s">
        <v>35</v>
      </c>
      <c r="B104" s="5">
        <v>0</v>
      </c>
      <c r="C104" s="5">
        <v>0</v>
      </c>
      <c r="D104" s="5" t="s">
        <v>101</v>
      </c>
      <c r="E104" s="5" t="s">
        <v>93</v>
      </c>
      <c r="F104" s="5" t="s">
        <v>88</v>
      </c>
      <c r="G104" s="5" t="s">
        <v>91</v>
      </c>
      <c r="H104" s="5" t="s">
        <v>60</v>
      </c>
      <c r="I104" s="5" t="s">
        <v>34</v>
      </c>
      <c r="J104" s="5" t="s">
        <v>29</v>
      </c>
      <c r="K104" s="5" t="s">
        <v>30</v>
      </c>
      <c r="L104" s="5" t="s">
        <v>31</v>
      </c>
      <c r="M104" s="5" t="s">
        <v>32</v>
      </c>
      <c r="N104" s="5" t="s">
        <v>33</v>
      </c>
    </row>
    <row r="105" spans="1:14" ht="15.75" customHeight="1" x14ac:dyDescent="0.2">
      <c r="A105" s="5" t="s">
        <v>36</v>
      </c>
      <c r="B105" s="5">
        <v>0</v>
      </c>
      <c r="C105" s="5">
        <v>0</v>
      </c>
      <c r="D105" s="5" t="s">
        <v>101</v>
      </c>
      <c r="E105" s="5" t="s">
        <v>93</v>
      </c>
      <c r="F105" s="5" t="s">
        <v>88</v>
      </c>
      <c r="G105" s="5" t="s">
        <v>90</v>
      </c>
      <c r="H105" s="5" t="s">
        <v>60</v>
      </c>
      <c r="I105" s="5" t="s">
        <v>36</v>
      </c>
      <c r="J105" s="5" t="s">
        <v>29</v>
      </c>
      <c r="K105" s="5" t="s">
        <v>30</v>
      </c>
      <c r="L105" s="5" t="s">
        <v>31</v>
      </c>
      <c r="M105" s="5" t="s">
        <v>32</v>
      </c>
      <c r="N105" s="5" t="s">
        <v>33</v>
      </c>
    </row>
    <row r="106" spans="1:14" ht="15.75" customHeight="1" x14ac:dyDescent="0.2">
      <c r="A106" s="5" t="s">
        <v>35</v>
      </c>
      <c r="B106" s="5">
        <v>0</v>
      </c>
      <c r="C106" s="5">
        <v>0</v>
      </c>
      <c r="D106" s="5" t="s">
        <v>101</v>
      </c>
      <c r="E106" s="5" t="s">
        <v>93</v>
      </c>
      <c r="F106" s="5" t="s">
        <v>88</v>
      </c>
      <c r="G106" s="5" t="s">
        <v>91</v>
      </c>
      <c r="H106" s="5" t="s">
        <v>60</v>
      </c>
      <c r="I106" s="5" t="s">
        <v>36</v>
      </c>
      <c r="J106" s="5" t="s">
        <v>29</v>
      </c>
      <c r="K106" s="5" t="s">
        <v>30</v>
      </c>
      <c r="L106" s="5" t="s">
        <v>31</v>
      </c>
      <c r="M106" s="5" t="s">
        <v>32</v>
      </c>
      <c r="N106" s="5" t="s">
        <v>33</v>
      </c>
    </row>
    <row r="107" spans="1:14" ht="15.75" customHeight="1" x14ac:dyDescent="0.2">
      <c r="A107" s="5" t="s">
        <v>37</v>
      </c>
      <c r="B107" s="5">
        <v>0</v>
      </c>
      <c r="C107" s="5">
        <v>0</v>
      </c>
      <c r="D107" s="5" t="s">
        <v>101</v>
      </c>
      <c r="E107" s="5" t="s">
        <v>93</v>
      </c>
      <c r="F107" s="5" t="s">
        <v>88</v>
      </c>
      <c r="G107" s="5" t="s">
        <v>90</v>
      </c>
      <c r="H107" s="5" t="s">
        <v>60</v>
      </c>
      <c r="I107" s="5" t="s">
        <v>37</v>
      </c>
      <c r="J107" s="5" t="s">
        <v>29</v>
      </c>
      <c r="K107" s="5" t="s">
        <v>30</v>
      </c>
      <c r="L107" s="5" t="s">
        <v>31</v>
      </c>
      <c r="M107" s="5" t="s">
        <v>32</v>
      </c>
      <c r="N107" s="5" t="s">
        <v>33</v>
      </c>
    </row>
    <row r="108" spans="1:14" ht="15.75" customHeight="1" x14ac:dyDescent="0.2">
      <c r="A108" s="5" t="s">
        <v>35</v>
      </c>
      <c r="B108" s="5">
        <v>0</v>
      </c>
      <c r="C108" s="5">
        <v>0</v>
      </c>
      <c r="D108" s="5" t="s">
        <v>101</v>
      </c>
      <c r="E108" s="5" t="s">
        <v>93</v>
      </c>
      <c r="F108" s="5" t="s">
        <v>88</v>
      </c>
      <c r="G108" s="5" t="s">
        <v>91</v>
      </c>
      <c r="H108" s="5" t="s">
        <v>60</v>
      </c>
      <c r="I108" s="5" t="s">
        <v>37</v>
      </c>
      <c r="J108" s="5" t="s">
        <v>29</v>
      </c>
      <c r="K108" s="5" t="s">
        <v>30</v>
      </c>
      <c r="L108" s="5" t="s">
        <v>31</v>
      </c>
      <c r="M108" s="5" t="s">
        <v>32</v>
      </c>
      <c r="N108" s="5" t="s">
        <v>33</v>
      </c>
    </row>
    <row r="109" spans="1:14" ht="15.75" customHeight="1" x14ac:dyDescent="0.2">
      <c r="A109" s="5" t="s">
        <v>38</v>
      </c>
      <c r="B109" s="5">
        <v>0</v>
      </c>
      <c r="C109" s="5">
        <v>0</v>
      </c>
      <c r="D109" s="5" t="s">
        <v>101</v>
      </c>
      <c r="E109" s="5" t="s">
        <v>93</v>
      </c>
      <c r="F109" s="5" t="s">
        <v>88</v>
      </c>
      <c r="G109" s="5" t="s">
        <v>90</v>
      </c>
      <c r="H109" s="5" t="s">
        <v>60</v>
      </c>
      <c r="I109" s="5" t="s">
        <v>38</v>
      </c>
      <c r="J109" s="5" t="s">
        <v>29</v>
      </c>
      <c r="K109" s="5" t="s">
        <v>30</v>
      </c>
      <c r="L109" s="5" t="s">
        <v>31</v>
      </c>
      <c r="M109" s="5" t="s">
        <v>32</v>
      </c>
      <c r="N109" s="5" t="s">
        <v>33</v>
      </c>
    </row>
    <row r="110" spans="1:14" ht="15.75" customHeight="1" x14ac:dyDescent="0.2">
      <c r="A110" s="5" t="s">
        <v>35</v>
      </c>
      <c r="B110" s="5">
        <v>0</v>
      </c>
      <c r="C110" s="5">
        <v>0</v>
      </c>
      <c r="D110" s="5" t="s">
        <v>101</v>
      </c>
      <c r="E110" s="5" t="s">
        <v>93</v>
      </c>
      <c r="F110" s="5" t="s">
        <v>88</v>
      </c>
      <c r="G110" s="5" t="s">
        <v>91</v>
      </c>
      <c r="H110" s="5" t="s">
        <v>60</v>
      </c>
      <c r="I110" s="5" t="s">
        <v>38</v>
      </c>
      <c r="J110" s="5" t="s">
        <v>29</v>
      </c>
      <c r="K110" s="5" t="s">
        <v>30</v>
      </c>
      <c r="L110" s="5" t="s">
        <v>31</v>
      </c>
      <c r="M110" s="5" t="s">
        <v>32</v>
      </c>
      <c r="N110" s="5" t="s">
        <v>33</v>
      </c>
    </row>
    <row r="111" spans="1:14" ht="15.75" customHeight="1" x14ac:dyDescent="0.2">
      <c r="A111" s="5" t="s">
        <v>39</v>
      </c>
      <c r="B111" s="5">
        <v>0</v>
      </c>
      <c r="C111" s="5">
        <v>0</v>
      </c>
      <c r="D111" s="5" t="s">
        <v>101</v>
      </c>
      <c r="E111" s="5" t="s">
        <v>93</v>
      </c>
      <c r="F111" s="5" t="s">
        <v>88</v>
      </c>
      <c r="G111" s="5" t="s">
        <v>90</v>
      </c>
      <c r="H111" s="5" t="s">
        <v>60</v>
      </c>
      <c r="I111" s="5" t="s">
        <v>39</v>
      </c>
      <c r="J111" s="5" t="s">
        <v>29</v>
      </c>
      <c r="K111" s="5" t="s">
        <v>30</v>
      </c>
      <c r="L111" s="5" t="s">
        <v>31</v>
      </c>
      <c r="M111" s="5" t="s">
        <v>32</v>
      </c>
      <c r="N111" s="5" t="s">
        <v>33</v>
      </c>
    </row>
    <row r="112" spans="1:14" ht="15.75" customHeight="1" x14ac:dyDescent="0.2">
      <c r="A112" s="5" t="s">
        <v>35</v>
      </c>
      <c r="B112" s="5">
        <v>0</v>
      </c>
      <c r="C112" s="5">
        <v>0</v>
      </c>
      <c r="D112" s="5" t="s">
        <v>101</v>
      </c>
      <c r="E112" s="5" t="s">
        <v>93</v>
      </c>
      <c r="F112" s="5" t="s">
        <v>88</v>
      </c>
      <c r="G112" s="5" t="s">
        <v>91</v>
      </c>
      <c r="H112" s="5" t="s">
        <v>60</v>
      </c>
      <c r="I112" s="5" t="s">
        <v>39</v>
      </c>
      <c r="J112" s="5" t="s">
        <v>29</v>
      </c>
      <c r="K112" s="5" t="s">
        <v>30</v>
      </c>
      <c r="L112" s="5" t="s">
        <v>31</v>
      </c>
      <c r="M112" s="5" t="s">
        <v>32</v>
      </c>
      <c r="N112" s="5" t="s">
        <v>33</v>
      </c>
    </row>
    <row r="113" spans="1:14" ht="15.75" customHeight="1" x14ac:dyDescent="0.2">
      <c r="A113" s="5" t="s">
        <v>40</v>
      </c>
      <c r="B113" s="5">
        <v>0</v>
      </c>
      <c r="C113" s="5">
        <v>0</v>
      </c>
      <c r="D113" s="5" t="s">
        <v>101</v>
      </c>
      <c r="E113" s="5" t="s">
        <v>93</v>
      </c>
      <c r="F113" s="5" t="s">
        <v>88</v>
      </c>
      <c r="G113" s="5" t="s">
        <v>90</v>
      </c>
      <c r="H113" s="5" t="s">
        <v>60</v>
      </c>
      <c r="I113" s="5" t="s">
        <v>40</v>
      </c>
      <c r="J113" s="5" t="s">
        <v>29</v>
      </c>
      <c r="K113" s="5" t="s">
        <v>30</v>
      </c>
      <c r="L113" s="5" t="s">
        <v>31</v>
      </c>
      <c r="M113" s="5" t="s">
        <v>32</v>
      </c>
      <c r="N113" s="5" t="s">
        <v>33</v>
      </c>
    </row>
    <row r="114" spans="1:14" ht="15.75" customHeight="1" x14ac:dyDescent="0.2">
      <c r="A114" s="5" t="s">
        <v>35</v>
      </c>
      <c r="B114" s="5">
        <v>0</v>
      </c>
      <c r="C114" s="5">
        <v>0</v>
      </c>
      <c r="D114" s="5" t="s">
        <v>101</v>
      </c>
      <c r="E114" s="5" t="s">
        <v>93</v>
      </c>
      <c r="F114" s="5" t="s">
        <v>88</v>
      </c>
      <c r="G114" s="5" t="s">
        <v>91</v>
      </c>
      <c r="H114" s="5" t="s">
        <v>60</v>
      </c>
      <c r="I114" s="5" t="s">
        <v>40</v>
      </c>
      <c r="J114" s="5" t="s">
        <v>29</v>
      </c>
      <c r="K114" s="5" t="s">
        <v>30</v>
      </c>
      <c r="L114" s="5" t="s">
        <v>31</v>
      </c>
      <c r="M114" s="5" t="s">
        <v>32</v>
      </c>
      <c r="N114" s="5" t="s">
        <v>33</v>
      </c>
    </row>
    <row r="115" spans="1:14" ht="15.75" customHeight="1" x14ac:dyDescent="0.2">
      <c r="A115" s="5" t="s">
        <v>41</v>
      </c>
      <c r="B115" s="5">
        <v>0</v>
      </c>
      <c r="C115" s="5">
        <v>0</v>
      </c>
      <c r="D115" s="5" t="s">
        <v>101</v>
      </c>
      <c r="E115" s="5" t="s">
        <v>93</v>
      </c>
      <c r="F115" s="5" t="s">
        <v>88</v>
      </c>
      <c r="G115" s="5" t="s">
        <v>90</v>
      </c>
      <c r="H115" s="5" t="s">
        <v>60</v>
      </c>
      <c r="I115" s="5" t="s">
        <v>41</v>
      </c>
      <c r="J115" s="5" t="s">
        <v>29</v>
      </c>
      <c r="K115" s="5" t="s">
        <v>30</v>
      </c>
      <c r="L115" s="5" t="s">
        <v>31</v>
      </c>
      <c r="M115" s="5" t="s">
        <v>32</v>
      </c>
      <c r="N115" s="5" t="s">
        <v>33</v>
      </c>
    </row>
    <row r="116" spans="1:14" ht="15.75" customHeight="1" x14ac:dyDescent="0.2">
      <c r="A116" s="5" t="s">
        <v>35</v>
      </c>
      <c r="B116" s="5">
        <v>0</v>
      </c>
      <c r="C116" s="5">
        <v>0</v>
      </c>
      <c r="D116" s="5" t="s">
        <v>101</v>
      </c>
      <c r="E116" s="5" t="s">
        <v>93</v>
      </c>
      <c r="F116" s="5" t="s">
        <v>88</v>
      </c>
      <c r="G116" s="5" t="s">
        <v>91</v>
      </c>
      <c r="H116" s="5" t="s">
        <v>60</v>
      </c>
      <c r="I116" s="5" t="s">
        <v>41</v>
      </c>
      <c r="J116" s="5" t="s">
        <v>29</v>
      </c>
      <c r="K116" s="5" t="s">
        <v>30</v>
      </c>
      <c r="L116" s="5" t="s">
        <v>31</v>
      </c>
      <c r="M116" s="5" t="s">
        <v>32</v>
      </c>
      <c r="N116" s="5" t="s">
        <v>33</v>
      </c>
    </row>
    <row r="117" spans="1:14" ht="15.75" customHeight="1" x14ac:dyDescent="0.2">
      <c r="A117" s="5" t="s">
        <v>42</v>
      </c>
      <c r="B117" s="5">
        <v>0</v>
      </c>
      <c r="C117" s="5">
        <v>0</v>
      </c>
      <c r="D117" s="5" t="s">
        <v>101</v>
      </c>
      <c r="E117" s="5" t="s">
        <v>93</v>
      </c>
      <c r="F117" s="5" t="s">
        <v>88</v>
      </c>
      <c r="G117" s="5" t="s">
        <v>90</v>
      </c>
      <c r="H117" s="5" t="s">
        <v>60</v>
      </c>
      <c r="I117" s="5" t="s">
        <v>42</v>
      </c>
      <c r="J117" s="5" t="s">
        <v>29</v>
      </c>
      <c r="K117" s="5" t="s">
        <v>30</v>
      </c>
      <c r="L117" s="5" t="s">
        <v>31</v>
      </c>
      <c r="M117" s="5" t="s">
        <v>32</v>
      </c>
      <c r="N117" s="5" t="s">
        <v>33</v>
      </c>
    </row>
    <row r="118" spans="1:14" ht="15.75" customHeight="1" x14ac:dyDescent="0.2">
      <c r="A118" s="5" t="s">
        <v>35</v>
      </c>
      <c r="B118" s="5">
        <v>0</v>
      </c>
      <c r="C118" s="5">
        <v>0</v>
      </c>
      <c r="D118" s="5" t="s">
        <v>101</v>
      </c>
      <c r="E118" s="5" t="s">
        <v>93</v>
      </c>
      <c r="F118" s="5" t="s">
        <v>88</v>
      </c>
      <c r="G118" s="5" t="s">
        <v>91</v>
      </c>
      <c r="H118" s="5" t="s">
        <v>60</v>
      </c>
      <c r="I118" s="5" t="s">
        <v>42</v>
      </c>
      <c r="J118" s="5" t="s">
        <v>29</v>
      </c>
      <c r="K118" s="5" t="s">
        <v>30</v>
      </c>
      <c r="L118" s="5" t="s">
        <v>31</v>
      </c>
      <c r="M118" s="5" t="s">
        <v>32</v>
      </c>
      <c r="N118" s="5" t="s">
        <v>33</v>
      </c>
    </row>
    <row r="119" spans="1:14" ht="15.75" customHeight="1" x14ac:dyDescent="0.2">
      <c r="A119" s="5" t="s">
        <v>43</v>
      </c>
      <c r="B119" s="5">
        <v>0</v>
      </c>
      <c r="C119" s="5">
        <v>0</v>
      </c>
      <c r="D119" s="5" t="s">
        <v>101</v>
      </c>
      <c r="E119" s="5" t="s">
        <v>93</v>
      </c>
      <c r="F119" s="5" t="s">
        <v>88</v>
      </c>
      <c r="G119" s="5" t="s">
        <v>90</v>
      </c>
      <c r="H119" s="5" t="s">
        <v>60</v>
      </c>
      <c r="I119" s="5" t="s">
        <v>43</v>
      </c>
      <c r="J119" s="5" t="s">
        <v>29</v>
      </c>
      <c r="K119" s="5" t="s">
        <v>30</v>
      </c>
      <c r="L119" s="5" t="s">
        <v>31</v>
      </c>
      <c r="M119" s="5" t="s">
        <v>32</v>
      </c>
      <c r="N119" s="5" t="s">
        <v>33</v>
      </c>
    </row>
    <row r="120" spans="1:14" ht="15.75" customHeight="1" x14ac:dyDescent="0.2">
      <c r="A120" s="5" t="s">
        <v>35</v>
      </c>
      <c r="B120" s="5">
        <v>0</v>
      </c>
      <c r="C120" s="5">
        <v>0</v>
      </c>
      <c r="D120" s="5" t="s">
        <v>101</v>
      </c>
      <c r="E120" s="5" t="s">
        <v>93</v>
      </c>
      <c r="F120" s="5" t="s">
        <v>88</v>
      </c>
      <c r="G120" s="5" t="s">
        <v>91</v>
      </c>
      <c r="H120" s="5" t="s">
        <v>60</v>
      </c>
      <c r="I120" s="5" t="s">
        <v>43</v>
      </c>
      <c r="J120" s="5" t="s">
        <v>29</v>
      </c>
      <c r="K120" s="5" t="s">
        <v>30</v>
      </c>
      <c r="L120" s="5" t="s">
        <v>31</v>
      </c>
      <c r="M120" s="5" t="s">
        <v>32</v>
      </c>
      <c r="N120" s="5" t="s">
        <v>33</v>
      </c>
    </row>
    <row r="121" spans="1:14" ht="15.75" customHeight="1" x14ac:dyDescent="0.2">
      <c r="A121" s="5" t="s">
        <v>44</v>
      </c>
      <c r="B121" s="5">
        <v>0</v>
      </c>
      <c r="C121" s="5">
        <v>0</v>
      </c>
      <c r="D121" s="5" t="s">
        <v>101</v>
      </c>
      <c r="E121" s="5" t="s">
        <v>93</v>
      </c>
      <c r="F121" s="5" t="s">
        <v>88</v>
      </c>
      <c r="G121" s="5" t="s">
        <v>90</v>
      </c>
      <c r="H121" s="5" t="s">
        <v>60</v>
      </c>
      <c r="I121" s="5" t="s">
        <v>44</v>
      </c>
      <c r="J121" s="5" t="s">
        <v>29</v>
      </c>
      <c r="K121" s="5" t="s">
        <v>30</v>
      </c>
      <c r="L121" s="5" t="s">
        <v>31</v>
      </c>
      <c r="M121" s="5" t="s">
        <v>32</v>
      </c>
      <c r="N121" s="5" t="s">
        <v>33</v>
      </c>
    </row>
    <row r="122" spans="1:14" ht="15.75" customHeight="1" x14ac:dyDescent="0.2">
      <c r="A122" s="5" t="s">
        <v>35</v>
      </c>
      <c r="B122" s="5">
        <v>0</v>
      </c>
      <c r="C122" s="5">
        <v>0</v>
      </c>
      <c r="D122" s="5" t="s">
        <v>101</v>
      </c>
      <c r="E122" s="5" t="s">
        <v>93</v>
      </c>
      <c r="F122" s="5" t="s">
        <v>88</v>
      </c>
      <c r="G122" s="5" t="s">
        <v>91</v>
      </c>
      <c r="H122" s="5" t="s">
        <v>60</v>
      </c>
      <c r="I122" s="5" t="s">
        <v>44</v>
      </c>
      <c r="J122" s="5" t="s">
        <v>29</v>
      </c>
      <c r="K122" s="5" t="s">
        <v>30</v>
      </c>
      <c r="L122" s="5" t="s">
        <v>31</v>
      </c>
      <c r="M122" s="5" t="s">
        <v>32</v>
      </c>
      <c r="N122" s="5" t="s">
        <v>33</v>
      </c>
    </row>
    <row r="123" spans="1:14" ht="15.75" customHeight="1" x14ac:dyDescent="0.2">
      <c r="A123" s="5" t="s">
        <v>45</v>
      </c>
      <c r="B123" s="5">
        <v>0</v>
      </c>
      <c r="C123" s="5">
        <v>0</v>
      </c>
      <c r="D123" s="5" t="s">
        <v>101</v>
      </c>
      <c r="E123" s="5" t="s">
        <v>93</v>
      </c>
      <c r="F123" s="5" t="s">
        <v>88</v>
      </c>
      <c r="G123" s="5" t="s">
        <v>90</v>
      </c>
      <c r="H123" s="5" t="s">
        <v>60</v>
      </c>
      <c r="I123" s="5" t="s">
        <v>45</v>
      </c>
      <c r="J123" s="5" t="s">
        <v>29</v>
      </c>
      <c r="K123" s="5" t="s">
        <v>30</v>
      </c>
      <c r="L123" s="5" t="s">
        <v>31</v>
      </c>
      <c r="M123" s="5" t="s">
        <v>32</v>
      </c>
      <c r="N123" s="5" t="s">
        <v>33</v>
      </c>
    </row>
    <row r="124" spans="1:14" ht="15.75" customHeight="1" x14ac:dyDescent="0.2">
      <c r="A124" s="5" t="s">
        <v>35</v>
      </c>
      <c r="B124" s="5">
        <v>0</v>
      </c>
      <c r="C124" s="5">
        <v>0</v>
      </c>
      <c r="D124" s="5" t="s">
        <v>101</v>
      </c>
      <c r="E124" s="5" t="s">
        <v>93</v>
      </c>
      <c r="F124" s="5" t="s">
        <v>88</v>
      </c>
      <c r="G124" s="5" t="s">
        <v>91</v>
      </c>
      <c r="H124" s="5" t="s">
        <v>60</v>
      </c>
      <c r="I124" s="5" t="s">
        <v>45</v>
      </c>
      <c r="J124" s="5" t="s">
        <v>29</v>
      </c>
      <c r="K124" s="5" t="s">
        <v>30</v>
      </c>
      <c r="L124" s="5" t="s">
        <v>31</v>
      </c>
      <c r="M124" s="5" t="s">
        <v>32</v>
      </c>
      <c r="N124" s="5" t="s">
        <v>33</v>
      </c>
    </row>
    <row r="125" spans="1:14" ht="15.75" customHeight="1" x14ac:dyDescent="0.2">
      <c r="A125" s="5" t="s">
        <v>46</v>
      </c>
      <c r="B125" s="5">
        <v>0</v>
      </c>
      <c r="C125" s="5">
        <v>0</v>
      </c>
      <c r="D125" s="5" t="s">
        <v>101</v>
      </c>
      <c r="E125" s="5" t="s">
        <v>93</v>
      </c>
      <c r="F125" s="5" t="s">
        <v>88</v>
      </c>
      <c r="G125" s="5" t="s">
        <v>90</v>
      </c>
      <c r="H125" s="5" t="s">
        <v>60</v>
      </c>
      <c r="I125" s="5" t="s">
        <v>46</v>
      </c>
      <c r="J125" s="5" t="s">
        <v>29</v>
      </c>
      <c r="K125" s="5" t="s">
        <v>30</v>
      </c>
      <c r="L125" s="5" t="s">
        <v>31</v>
      </c>
      <c r="M125" s="5" t="s">
        <v>32</v>
      </c>
      <c r="N125" s="5" t="s">
        <v>33</v>
      </c>
    </row>
    <row r="126" spans="1:14" ht="15.75" customHeight="1" x14ac:dyDescent="0.2">
      <c r="A126" s="5" t="s">
        <v>35</v>
      </c>
      <c r="B126" s="5">
        <v>0</v>
      </c>
      <c r="C126" s="5">
        <v>0</v>
      </c>
      <c r="D126" s="5" t="s">
        <v>101</v>
      </c>
      <c r="E126" s="5" t="s">
        <v>93</v>
      </c>
      <c r="F126" s="5" t="s">
        <v>88</v>
      </c>
      <c r="G126" s="5" t="s">
        <v>91</v>
      </c>
      <c r="H126" s="5" t="s">
        <v>60</v>
      </c>
      <c r="I126" s="5" t="s">
        <v>46</v>
      </c>
      <c r="J126" s="5" t="s">
        <v>29</v>
      </c>
      <c r="K126" s="5" t="s">
        <v>30</v>
      </c>
      <c r="L126" s="5" t="s">
        <v>31</v>
      </c>
      <c r="M126" s="5" t="s">
        <v>32</v>
      </c>
      <c r="N126" s="5" t="s">
        <v>33</v>
      </c>
    </row>
    <row r="127" spans="1:14" ht="15.75" customHeight="1" x14ac:dyDescent="0.2">
      <c r="A127" s="5" t="s">
        <v>87</v>
      </c>
      <c r="B127" s="5">
        <v>3</v>
      </c>
      <c r="C127" s="5">
        <v>402.6</v>
      </c>
      <c r="D127" s="5" t="s">
        <v>102</v>
      </c>
      <c r="E127" s="5" t="s">
        <v>93</v>
      </c>
      <c r="F127" s="5" t="s">
        <v>88</v>
      </c>
      <c r="G127" s="5" t="s">
        <v>89</v>
      </c>
      <c r="H127" s="5" t="s">
        <v>61</v>
      </c>
      <c r="I127" s="5" t="s">
        <v>87</v>
      </c>
      <c r="J127" s="5" t="s">
        <v>29</v>
      </c>
      <c r="K127" s="5" t="s">
        <v>30</v>
      </c>
      <c r="L127" s="5" t="s">
        <v>31</v>
      </c>
      <c r="M127" s="5" t="s">
        <v>32</v>
      </c>
      <c r="N127" s="5" t="s">
        <v>33</v>
      </c>
    </row>
    <row r="128" spans="1:14" ht="15.75" customHeight="1" x14ac:dyDescent="0.2">
      <c r="A128" s="5" t="s">
        <v>34</v>
      </c>
      <c r="B128" s="5">
        <v>0</v>
      </c>
      <c r="C128" s="5">
        <v>0</v>
      </c>
      <c r="D128" s="5" t="s">
        <v>102</v>
      </c>
      <c r="E128" s="5" t="s">
        <v>93</v>
      </c>
      <c r="F128" s="5" t="s">
        <v>88</v>
      </c>
      <c r="G128" s="5" t="s">
        <v>90</v>
      </c>
      <c r="H128" s="5" t="s">
        <v>61</v>
      </c>
      <c r="I128" s="5" t="s">
        <v>34</v>
      </c>
      <c r="J128" s="5" t="s">
        <v>29</v>
      </c>
      <c r="K128" s="5" t="s">
        <v>30</v>
      </c>
      <c r="L128" s="5" t="s">
        <v>31</v>
      </c>
      <c r="M128" s="5" t="s">
        <v>32</v>
      </c>
      <c r="N128" s="5" t="s">
        <v>33</v>
      </c>
    </row>
    <row r="129" spans="1:14" ht="15.75" customHeight="1" x14ac:dyDescent="0.2">
      <c r="A129" s="5" t="s">
        <v>35</v>
      </c>
      <c r="B129" s="5">
        <v>0</v>
      </c>
      <c r="C129" s="5">
        <v>0</v>
      </c>
      <c r="D129" s="5" t="s">
        <v>102</v>
      </c>
      <c r="E129" s="5" t="s">
        <v>93</v>
      </c>
      <c r="F129" s="5" t="s">
        <v>88</v>
      </c>
      <c r="G129" s="5" t="s">
        <v>91</v>
      </c>
      <c r="H129" s="5" t="s">
        <v>61</v>
      </c>
      <c r="I129" s="5" t="s">
        <v>34</v>
      </c>
      <c r="J129" s="5" t="s">
        <v>29</v>
      </c>
      <c r="K129" s="5" t="s">
        <v>30</v>
      </c>
      <c r="L129" s="5" t="s">
        <v>31</v>
      </c>
      <c r="M129" s="5" t="s">
        <v>32</v>
      </c>
      <c r="N129" s="5" t="s">
        <v>33</v>
      </c>
    </row>
    <row r="130" spans="1:14" ht="15.75" customHeight="1" x14ac:dyDescent="0.2">
      <c r="A130" s="5" t="s">
        <v>36</v>
      </c>
      <c r="B130" s="5">
        <v>3</v>
      </c>
      <c r="C130" s="5">
        <v>402.6</v>
      </c>
      <c r="D130" s="5" t="s">
        <v>102</v>
      </c>
      <c r="E130" s="5" t="s">
        <v>93</v>
      </c>
      <c r="F130" s="5" t="s">
        <v>88</v>
      </c>
      <c r="G130" s="5" t="s">
        <v>90</v>
      </c>
      <c r="H130" s="5" t="s">
        <v>61</v>
      </c>
      <c r="I130" s="5" t="s">
        <v>36</v>
      </c>
      <c r="J130" s="5" t="s">
        <v>29</v>
      </c>
      <c r="K130" s="5" t="s">
        <v>30</v>
      </c>
      <c r="L130" s="5" t="s">
        <v>31</v>
      </c>
      <c r="M130" s="5" t="s">
        <v>32</v>
      </c>
      <c r="N130" s="5" t="s">
        <v>33</v>
      </c>
    </row>
    <row r="131" spans="1:14" ht="15.75" customHeight="1" x14ac:dyDescent="0.2">
      <c r="A131" s="5" t="s">
        <v>35</v>
      </c>
      <c r="B131" s="5">
        <v>3</v>
      </c>
      <c r="C131" s="5">
        <v>402.6</v>
      </c>
      <c r="D131" s="5" t="s">
        <v>102</v>
      </c>
      <c r="E131" s="5" t="s">
        <v>93</v>
      </c>
      <c r="F131" s="5" t="s">
        <v>88</v>
      </c>
      <c r="G131" s="5" t="s">
        <v>91</v>
      </c>
      <c r="H131" s="5" t="s">
        <v>61</v>
      </c>
      <c r="I131" s="5" t="s">
        <v>36</v>
      </c>
      <c r="J131" s="5" t="s">
        <v>29</v>
      </c>
      <c r="K131" s="5" t="s">
        <v>30</v>
      </c>
      <c r="L131" s="5" t="s">
        <v>31</v>
      </c>
      <c r="M131" s="5" t="s">
        <v>32</v>
      </c>
      <c r="N131" s="5" t="s">
        <v>33</v>
      </c>
    </row>
    <row r="132" spans="1:14" ht="15.75" customHeight="1" x14ac:dyDescent="0.2">
      <c r="A132" s="5" t="s">
        <v>37</v>
      </c>
      <c r="B132" s="5">
        <v>0</v>
      </c>
      <c r="C132" s="5">
        <v>0</v>
      </c>
      <c r="D132" s="5" t="s">
        <v>102</v>
      </c>
      <c r="E132" s="5" t="s">
        <v>93</v>
      </c>
      <c r="F132" s="5" t="s">
        <v>88</v>
      </c>
      <c r="G132" s="5" t="s">
        <v>90</v>
      </c>
      <c r="H132" s="5" t="s">
        <v>61</v>
      </c>
      <c r="I132" s="5" t="s">
        <v>37</v>
      </c>
      <c r="J132" s="5" t="s">
        <v>29</v>
      </c>
      <c r="K132" s="5" t="s">
        <v>30</v>
      </c>
      <c r="L132" s="5" t="s">
        <v>31</v>
      </c>
      <c r="M132" s="5" t="s">
        <v>32</v>
      </c>
      <c r="N132" s="5" t="s">
        <v>33</v>
      </c>
    </row>
    <row r="133" spans="1:14" ht="15.75" customHeight="1" x14ac:dyDescent="0.2">
      <c r="A133" s="5" t="s">
        <v>35</v>
      </c>
      <c r="B133" s="5">
        <v>0</v>
      </c>
      <c r="C133" s="5">
        <v>0</v>
      </c>
      <c r="D133" s="5" t="s">
        <v>102</v>
      </c>
      <c r="E133" s="5" t="s">
        <v>93</v>
      </c>
      <c r="F133" s="5" t="s">
        <v>88</v>
      </c>
      <c r="G133" s="5" t="s">
        <v>91</v>
      </c>
      <c r="H133" s="5" t="s">
        <v>61</v>
      </c>
      <c r="I133" s="5" t="s">
        <v>37</v>
      </c>
      <c r="J133" s="5" t="s">
        <v>29</v>
      </c>
      <c r="K133" s="5" t="s">
        <v>30</v>
      </c>
      <c r="L133" s="5" t="s">
        <v>31</v>
      </c>
      <c r="M133" s="5" t="s">
        <v>32</v>
      </c>
      <c r="N133" s="5" t="s">
        <v>33</v>
      </c>
    </row>
    <row r="134" spans="1:14" ht="15.75" customHeight="1" x14ac:dyDescent="0.2">
      <c r="A134" s="5" t="s">
        <v>38</v>
      </c>
      <c r="B134" s="5">
        <v>0</v>
      </c>
      <c r="C134" s="5">
        <v>0</v>
      </c>
      <c r="D134" s="5" t="s">
        <v>102</v>
      </c>
      <c r="E134" s="5" t="s">
        <v>93</v>
      </c>
      <c r="F134" s="5" t="s">
        <v>88</v>
      </c>
      <c r="G134" s="5" t="s">
        <v>90</v>
      </c>
      <c r="H134" s="5" t="s">
        <v>61</v>
      </c>
      <c r="I134" s="5" t="s">
        <v>38</v>
      </c>
      <c r="J134" s="5" t="s">
        <v>29</v>
      </c>
      <c r="K134" s="5" t="s">
        <v>30</v>
      </c>
      <c r="L134" s="5" t="s">
        <v>31</v>
      </c>
      <c r="M134" s="5" t="s">
        <v>32</v>
      </c>
      <c r="N134" s="5" t="s">
        <v>33</v>
      </c>
    </row>
    <row r="135" spans="1:14" ht="15.75" customHeight="1" x14ac:dyDescent="0.2">
      <c r="A135" s="5" t="s">
        <v>35</v>
      </c>
      <c r="B135" s="5">
        <v>0</v>
      </c>
      <c r="C135" s="5">
        <v>0</v>
      </c>
      <c r="D135" s="5" t="s">
        <v>102</v>
      </c>
      <c r="E135" s="5" t="s">
        <v>93</v>
      </c>
      <c r="F135" s="5" t="s">
        <v>88</v>
      </c>
      <c r="G135" s="5" t="s">
        <v>91</v>
      </c>
      <c r="H135" s="5" t="s">
        <v>61</v>
      </c>
      <c r="I135" s="5" t="s">
        <v>38</v>
      </c>
      <c r="J135" s="5" t="s">
        <v>29</v>
      </c>
      <c r="K135" s="5" t="s">
        <v>30</v>
      </c>
      <c r="L135" s="5" t="s">
        <v>31</v>
      </c>
      <c r="M135" s="5" t="s">
        <v>32</v>
      </c>
      <c r="N135" s="5" t="s">
        <v>33</v>
      </c>
    </row>
    <row r="136" spans="1:14" ht="15.75" customHeight="1" x14ac:dyDescent="0.2">
      <c r="A136" s="5" t="s">
        <v>39</v>
      </c>
      <c r="B136" s="5">
        <v>0</v>
      </c>
      <c r="C136" s="5">
        <v>0</v>
      </c>
      <c r="D136" s="5" t="s">
        <v>102</v>
      </c>
      <c r="E136" s="5" t="s">
        <v>93</v>
      </c>
      <c r="F136" s="5" t="s">
        <v>88</v>
      </c>
      <c r="G136" s="5" t="s">
        <v>90</v>
      </c>
      <c r="H136" s="5" t="s">
        <v>61</v>
      </c>
      <c r="I136" s="5" t="s">
        <v>39</v>
      </c>
      <c r="J136" s="5" t="s">
        <v>29</v>
      </c>
      <c r="K136" s="5" t="s">
        <v>30</v>
      </c>
      <c r="L136" s="5" t="s">
        <v>31</v>
      </c>
      <c r="M136" s="5" t="s">
        <v>32</v>
      </c>
      <c r="N136" s="5" t="s">
        <v>33</v>
      </c>
    </row>
    <row r="137" spans="1:14" ht="15.75" customHeight="1" x14ac:dyDescent="0.2">
      <c r="A137" s="5" t="s">
        <v>35</v>
      </c>
      <c r="B137" s="5">
        <v>0</v>
      </c>
      <c r="C137" s="5">
        <v>0</v>
      </c>
      <c r="D137" s="5" t="s">
        <v>102</v>
      </c>
      <c r="E137" s="5" t="s">
        <v>93</v>
      </c>
      <c r="F137" s="5" t="s">
        <v>88</v>
      </c>
      <c r="G137" s="5" t="s">
        <v>91</v>
      </c>
      <c r="H137" s="5" t="s">
        <v>61</v>
      </c>
      <c r="I137" s="5" t="s">
        <v>39</v>
      </c>
      <c r="J137" s="5" t="s">
        <v>29</v>
      </c>
      <c r="K137" s="5" t="s">
        <v>30</v>
      </c>
      <c r="L137" s="5" t="s">
        <v>31</v>
      </c>
      <c r="M137" s="5" t="s">
        <v>32</v>
      </c>
      <c r="N137" s="5" t="s">
        <v>33</v>
      </c>
    </row>
    <row r="138" spans="1:14" ht="15.75" customHeight="1" x14ac:dyDescent="0.2">
      <c r="A138" s="5" t="s">
        <v>40</v>
      </c>
      <c r="B138" s="5">
        <v>0</v>
      </c>
      <c r="C138" s="5">
        <v>0</v>
      </c>
      <c r="D138" s="5" t="s">
        <v>102</v>
      </c>
      <c r="E138" s="5" t="s">
        <v>93</v>
      </c>
      <c r="F138" s="5" t="s">
        <v>88</v>
      </c>
      <c r="G138" s="5" t="s">
        <v>90</v>
      </c>
      <c r="H138" s="5" t="s">
        <v>61</v>
      </c>
      <c r="I138" s="5" t="s">
        <v>40</v>
      </c>
      <c r="J138" s="5" t="s">
        <v>29</v>
      </c>
      <c r="K138" s="5" t="s">
        <v>30</v>
      </c>
      <c r="L138" s="5" t="s">
        <v>31</v>
      </c>
      <c r="M138" s="5" t="s">
        <v>32</v>
      </c>
      <c r="N138" s="5" t="s">
        <v>33</v>
      </c>
    </row>
    <row r="139" spans="1:14" ht="15.75" customHeight="1" x14ac:dyDescent="0.2">
      <c r="A139" s="5" t="s">
        <v>35</v>
      </c>
      <c r="B139" s="5">
        <v>0</v>
      </c>
      <c r="C139" s="5">
        <v>0</v>
      </c>
      <c r="D139" s="5" t="s">
        <v>102</v>
      </c>
      <c r="E139" s="5" t="s">
        <v>93</v>
      </c>
      <c r="F139" s="5" t="s">
        <v>88</v>
      </c>
      <c r="G139" s="5" t="s">
        <v>91</v>
      </c>
      <c r="H139" s="5" t="s">
        <v>61</v>
      </c>
      <c r="I139" s="5" t="s">
        <v>40</v>
      </c>
      <c r="J139" s="5" t="s">
        <v>29</v>
      </c>
      <c r="K139" s="5" t="s">
        <v>30</v>
      </c>
      <c r="L139" s="5" t="s">
        <v>31</v>
      </c>
      <c r="M139" s="5" t="s">
        <v>32</v>
      </c>
      <c r="N139" s="5" t="s">
        <v>33</v>
      </c>
    </row>
    <row r="140" spans="1:14" ht="15.75" customHeight="1" x14ac:dyDescent="0.2">
      <c r="A140" s="5" t="s">
        <v>41</v>
      </c>
      <c r="B140" s="5">
        <v>0</v>
      </c>
      <c r="C140" s="5">
        <v>0</v>
      </c>
      <c r="D140" s="5" t="s">
        <v>102</v>
      </c>
      <c r="E140" s="5" t="s">
        <v>93</v>
      </c>
      <c r="F140" s="5" t="s">
        <v>88</v>
      </c>
      <c r="G140" s="5" t="s">
        <v>90</v>
      </c>
      <c r="H140" s="5" t="s">
        <v>61</v>
      </c>
      <c r="I140" s="5" t="s">
        <v>41</v>
      </c>
      <c r="J140" s="5" t="s">
        <v>29</v>
      </c>
      <c r="K140" s="5" t="s">
        <v>30</v>
      </c>
      <c r="L140" s="5" t="s">
        <v>31</v>
      </c>
      <c r="M140" s="5" t="s">
        <v>32</v>
      </c>
      <c r="N140" s="5" t="s">
        <v>33</v>
      </c>
    </row>
    <row r="141" spans="1:14" ht="15.75" customHeight="1" x14ac:dyDescent="0.2">
      <c r="A141" s="5" t="s">
        <v>35</v>
      </c>
      <c r="B141" s="5">
        <v>0</v>
      </c>
      <c r="C141" s="5">
        <v>0</v>
      </c>
      <c r="D141" s="5" t="s">
        <v>102</v>
      </c>
      <c r="E141" s="5" t="s">
        <v>93</v>
      </c>
      <c r="F141" s="5" t="s">
        <v>88</v>
      </c>
      <c r="G141" s="5" t="s">
        <v>91</v>
      </c>
      <c r="H141" s="5" t="s">
        <v>61</v>
      </c>
      <c r="I141" s="5" t="s">
        <v>41</v>
      </c>
      <c r="J141" s="5" t="s">
        <v>29</v>
      </c>
      <c r="K141" s="5" t="s">
        <v>30</v>
      </c>
      <c r="L141" s="5" t="s">
        <v>31</v>
      </c>
      <c r="M141" s="5" t="s">
        <v>32</v>
      </c>
      <c r="N141" s="5" t="s">
        <v>33</v>
      </c>
    </row>
    <row r="142" spans="1:14" ht="15.75" customHeight="1" x14ac:dyDescent="0.2">
      <c r="A142" s="5" t="s">
        <v>42</v>
      </c>
      <c r="B142" s="5">
        <v>0</v>
      </c>
      <c r="C142" s="5">
        <v>0</v>
      </c>
      <c r="D142" s="5" t="s">
        <v>102</v>
      </c>
      <c r="E142" s="5" t="s">
        <v>93</v>
      </c>
      <c r="F142" s="5" t="s">
        <v>88</v>
      </c>
      <c r="G142" s="5" t="s">
        <v>90</v>
      </c>
      <c r="H142" s="5" t="s">
        <v>61</v>
      </c>
      <c r="I142" s="5" t="s">
        <v>42</v>
      </c>
      <c r="J142" s="5" t="s">
        <v>29</v>
      </c>
      <c r="K142" s="5" t="s">
        <v>30</v>
      </c>
      <c r="L142" s="5" t="s">
        <v>31</v>
      </c>
      <c r="M142" s="5" t="s">
        <v>32</v>
      </c>
      <c r="N142" s="5" t="s">
        <v>33</v>
      </c>
    </row>
    <row r="143" spans="1:14" ht="15.75" customHeight="1" x14ac:dyDescent="0.2">
      <c r="A143" s="5" t="s">
        <v>35</v>
      </c>
      <c r="B143" s="5">
        <v>0</v>
      </c>
      <c r="C143" s="5">
        <v>0</v>
      </c>
      <c r="D143" s="5" t="s">
        <v>102</v>
      </c>
      <c r="E143" s="5" t="s">
        <v>93</v>
      </c>
      <c r="F143" s="5" t="s">
        <v>88</v>
      </c>
      <c r="G143" s="5" t="s">
        <v>91</v>
      </c>
      <c r="H143" s="5" t="s">
        <v>61</v>
      </c>
      <c r="I143" s="5" t="s">
        <v>42</v>
      </c>
      <c r="J143" s="5" t="s">
        <v>29</v>
      </c>
      <c r="K143" s="5" t="s">
        <v>30</v>
      </c>
      <c r="L143" s="5" t="s">
        <v>31</v>
      </c>
      <c r="M143" s="5" t="s">
        <v>32</v>
      </c>
      <c r="N143" s="5" t="s">
        <v>33</v>
      </c>
    </row>
    <row r="144" spans="1:14" ht="15.75" customHeight="1" x14ac:dyDescent="0.2">
      <c r="A144" s="5" t="s">
        <v>43</v>
      </c>
      <c r="B144" s="5">
        <v>0</v>
      </c>
      <c r="C144" s="5">
        <v>0</v>
      </c>
      <c r="D144" s="5" t="s">
        <v>102</v>
      </c>
      <c r="E144" s="5" t="s">
        <v>93</v>
      </c>
      <c r="F144" s="5" t="s">
        <v>88</v>
      </c>
      <c r="G144" s="5" t="s">
        <v>90</v>
      </c>
      <c r="H144" s="5" t="s">
        <v>61</v>
      </c>
      <c r="I144" s="5" t="s">
        <v>43</v>
      </c>
      <c r="J144" s="5" t="s">
        <v>29</v>
      </c>
      <c r="K144" s="5" t="s">
        <v>30</v>
      </c>
      <c r="L144" s="5" t="s">
        <v>31</v>
      </c>
      <c r="M144" s="5" t="s">
        <v>32</v>
      </c>
      <c r="N144" s="5" t="s">
        <v>33</v>
      </c>
    </row>
    <row r="145" spans="1:14" ht="15.75" customHeight="1" x14ac:dyDescent="0.2">
      <c r="A145" s="5" t="s">
        <v>35</v>
      </c>
      <c r="B145" s="5">
        <v>0</v>
      </c>
      <c r="C145" s="5">
        <v>0</v>
      </c>
      <c r="D145" s="5" t="s">
        <v>102</v>
      </c>
      <c r="E145" s="5" t="s">
        <v>93</v>
      </c>
      <c r="F145" s="5" t="s">
        <v>88</v>
      </c>
      <c r="G145" s="5" t="s">
        <v>91</v>
      </c>
      <c r="H145" s="5" t="s">
        <v>61</v>
      </c>
      <c r="I145" s="5" t="s">
        <v>43</v>
      </c>
      <c r="J145" s="5" t="s">
        <v>29</v>
      </c>
      <c r="K145" s="5" t="s">
        <v>30</v>
      </c>
      <c r="L145" s="5" t="s">
        <v>31</v>
      </c>
      <c r="M145" s="5" t="s">
        <v>32</v>
      </c>
      <c r="N145" s="5" t="s">
        <v>33</v>
      </c>
    </row>
    <row r="146" spans="1:14" ht="15.75" customHeight="1" x14ac:dyDescent="0.2">
      <c r="A146" s="5" t="s">
        <v>44</v>
      </c>
      <c r="B146" s="5">
        <v>0</v>
      </c>
      <c r="C146" s="5">
        <v>0</v>
      </c>
      <c r="D146" s="5" t="s">
        <v>102</v>
      </c>
      <c r="E146" s="5" t="s">
        <v>93</v>
      </c>
      <c r="F146" s="5" t="s">
        <v>88</v>
      </c>
      <c r="G146" s="5" t="s">
        <v>90</v>
      </c>
      <c r="H146" s="5" t="s">
        <v>61</v>
      </c>
      <c r="I146" s="5" t="s">
        <v>44</v>
      </c>
      <c r="J146" s="5" t="s">
        <v>29</v>
      </c>
      <c r="K146" s="5" t="s">
        <v>30</v>
      </c>
      <c r="L146" s="5" t="s">
        <v>31</v>
      </c>
      <c r="M146" s="5" t="s">
        <v>32</v>
      </c>
      <c r="N146" s="5" t="s">
        <v>33</v>
      </c>
    </row>
    <row r="147" spans="1:14" ht="15.75" customHeight="1" x14ac:dyDescent="0.2">
      <c r="A147" s="5" t="s">
        <v>35</v>
      </c>
      <c r="B147" s="5">
        <v>0</v>
      </c>
      <c r="C147" s="5">
        <v>0</v>
      </c>
      <c r="D147" s="5" t="s">
        <v>102</v>
      </c>
      <c r="E147" s="5" t="s">
        <v>93</v>
      </c>
      <c r="F147" s="5" t="s">
        <v>88</v>
      </c>
      <c r="G147" s="5" t="s">
        <v>91</v>
      </c>
      <c r="H147" s="5" t="s">
        <v>61</v>
      </c>
      <c r="I147" s="5" t="s">
        <v>44</v>
      </c>
      <c r="J147" s="5" t="s">
        <v>29</v>
      </c>
      <c r="K147" s="5" t="s">
        <v>30</v>
      </c>
      <c r="L147" s="5" t="s">
        <v>31</v>
      </c>
      <c r="M147" s="5" t="s">
        <v>32</v>
      </c>
      <c r="N147" s="5" t="s">
        <v>33</v>
      </c>
    </row>
    <row r="148" spans="1:14" ht="15.75" customHeight="1" x14ac:dyDescent="0.2">
      <c r="A148" s="5" t="s">
        <v>45</v>
      </c>
      <c r="B148" s="5">
        <v>0</v>
      </c>
      <c r="C148" s="5">
        <v>0</v>
      </c>
      <c r="D148" s="5" t="s">
        <v>102</v>
      </c>
      <c r="E148" s="5" t="s">
        <v>93</v>
      </c>
      <c r="F148" s="5" t="s">
        <v>88</v>
      </c>
      <c r="G148" s="5" t="s">
        <v>90</v>
      </c>
      <c r="H148" s="5" t="s">
        <v>61</v>
      </c>
      <c r="I148" s="5" t="s">
        <v>45</v>
      </c>
      <c r="J148" s="5" t="s">
        <v>29</v>
      </c>
      <c r="K148" s="5" t="s">
        <v>30</v>
      </c>
      <c r="L148" s="5" t="s">
        <v>31</v>
      </c>
      <c r="M148" s="5" t="s">
        <v>32</v>
      </c>
      <c r="N148" s="5" t="s">
        <v>33</v>
      </c>
    </row>
    <row r="149" spans="1:14" ht="15.75" customHeight="1" x14ac:dyDescent="0.2">
      <c r="A149" s="5" t="s">
        <v>35</v>
      </c>
      <c r="B149" s="5">
        <v>0</v>
      </c>
      <c r="C149" s="5">
        <v>0</v>
      </c>
      <c r="D149" s="5" t="s">
        <v>102</v>
      </c>
      <c r="E149" s="5" t="s">
        <v>93</v>
      </c>
      <c r="F149" s="5" t="s">
        <v>88</v>
      </c>
      <c r="G149" s="5" t="s">
        <v>91</v>
      </c>
      <c r="H149" s="5" t="s">
        <v>61</v>
      </c>
      <c r="I149" s="5" t="s">
        <v>45</v>
      </c>
      <c r="J149" s="5" t="s">
        <v>29</v>
      </c>
      <c r="K149" s="5" t="s">
        <v>30</v>
      </c>
      <c r="L149" s="5" t="s">
        <v>31</v>
      </c>
      <c r="M149" s="5" t="s">
        <v>32</v>
      </c>
      <c r="N149" s="5" t="s">
        <v>33</v>
      </c>
    </row>
    <row r="150" spans="1:14" ht="15.75" customHeight="1" x14ac:dyDescent="0.2">
      <c r="A150" s="5" t="s">
        <v>46</v>
      </c>
      <c r="B150" s="5">
        <v>0</v>
      </c>
      <c r="C150" s="5">
        <v>0</v>
      </c>
      <c r="D150" s="5" t="s">
        <v>102</v>
      </c>
      <c r="E150" s="5" t="s">
        <v>93</v>
      </c>
      <c r="F150" s="5" t="s">
        <v>88</v>
      </c>
      <c r="G150" s="5" t="s">
        <v>90</v>
      </c>
      <c r="H150" s="5" t="s">
        <v>61</v>
      </c>
      <c r="I150" s="5" t="s">
        <v>46</v>
      </c>
      <c r="J150" s="5" t="s">
        <v>29</v>
      </c>
      <c r="K150" s="5" t="s">
        <v>30</v>
      </c>
      <c r="L150" s="5" t="s">
        <v>31</v>
      </c>
      <c r="M150" s="5" t="s">
        <v>32</v>
      </c>
      <c r="N150" s="5" t="s">
        <v>33</v>
      </c>
    </row>
    <row r="151" spans="1:14" ht="15.75" customHeight="1" x14ac:dyDescent="0.2">
      <c r="A151" s="5" t="s">
        <v>35</v>
      </c>
      <c r="B151" s="5">
        <v>0</v>
      </c>
      <c r="C151" s="5">
        <v>0</v>
      </c>
      <c r="D151" s="5" t="s">
        <v>102</v>
      </c>
      <c r="E151" s="5" t="s">
        <v>93</v>
      </c>
      <c r="F151" s="5" t="s">
        <v>88</v>
      </c>
      <c r="G151" s="5" t="s">
        <v>91</v>
      </c>
      <c r="H151" s="5" t="s">
        <v>61</v>
      </c>
      <c r="I151" s="5" t="s">
        <v>46</v>
      </c>
      <c r="J151" s="5" t="s">
        <v>29</v>
      </c>
      <c r="K151" s="5" t="s">
        <v>30</v>
      </c>
      <c r="L151" s="5" t="s">
        <v>31</v>
      </c>
      <c r="M151" s="5" t="s">
        <v>32</v>
      </c>
      <c r="N151" s="5" t="s">
        <v>33</v>
      </c>
    </row>
    <row r="152" spans="1:14" ht="15.75" customHeight="1" x14ac:dyDescent="0.2">
      <c r="A152" s="5" t="s">
        <v>87</v>
      </c>
      <c r="B152" s="5">
        <v>57</v>
      </c>
      <c r="C152" s="5">
        <v>2512.6</v>
      </c>
      <c r="D152" s="5" t="s">
        <v>103</v>
      </c>
      <c r="E152" s="5" t="s">
        <v>104</v>
      </c>
      <c r="F152" s="5" t="s">
        <v>88</v>
      </c>
      <c r="G152" s="5" t="s">
        <v>89</v>
      </c>
      <c r="H152" s="5" t="s">
        <v>61</v>
      </c>
      <c r="I152" s="5" t="s">
        <v>87</v>
      </c>
      <c r="J152" s="5" t="s">
        <v>29</v>
      </c>
      <c r="K152" s="5" t="s">
        <v>30</v>
      </c>
      <c r="L152" s="5" t="s">
        <v>31</v>
      </c>
      <c r="M152" s="5" t="s">
        <v>32</v>
      </c>
      <c r="N152" s="5" t="s">
        <v>33</v>
      </c>
    </row>
    <row r="153" spans="1:14" ht="15.75" customHeight="1" x14ac:dyDescent="0.2">
      <c r="A153" s="5" t="s">
        <v>34</v>
      </c>
      <c r="B153" s="5">
        <v>7</v>
      </c>
      <c r="C153" s="5">
        <v>282.22000000000003</v>
      </c>
      <c r="D153" s="5" t="s">
        <v>103</v>
      </c>
      <c r="E153" s="5" t="s">
        <v>104</v>
      </c>
      <c r="F153" s="5" t="s">
        <v>88</v>
      </c>
      <c r="G153" s="5" t="s">
        <v>90</v>
      </c>
      <c r="H153" s="5" t="s">
        <v>61</v>
      </c>
      <c r="I153" s="5" t="s">
        <v>34</v>
      </c>
      <c r="J153" s="5" t="s">
        <v>29</v>
      </c>
      <c r="K153" s="5" t="s">
        <v>30</v>
      </c>
      <c r="L153" s="5" t="s">
        <v>31</v>
      </c>
      <c r="M153" s="5" t="s">
        <v>32</v>
      </c>
      <c r="N153" s="5" t="s">
        <v>33</v>
      </c>
    </row>
    <row r="154" spans="1:14" ht="15.75" customHeight="1" x14ac:dyDescent="0.2">
      <c r="A154" s="5" t="s">
        <v>35</v>
      </c>
      <c r="B154" s="5">
        <v>7</v>
      </c>
      <c r="C154" s="5">
        <v>282.22000000000003</v>
      </c>
      <c r="D154" s="5" t="s">
        <v>103</v>
      </c>
      <c r="E154" s="5" t="s">
        <v>104</v>
      </c>
      <c r="F154" s="5" t="s">
        <v>88</v>
      </c>
      <c r="G154" s="5" t="s">
        <v>91</v>
      </c>
      <c r="H154" s="5" t="s">
        <v>61</v>
      </c>
      <c r="I154" s="5" t="s">
        <v>34</v>
      </c>
      <c r="J154" s="5" t="s">
        <v>29</v>
      </c>
      <c r="K154" s="5" t="s">
        <v>30</v>
      </c>
      <c r="L154" s="5" t="s">
        <v>31</v>
      </c>
      <c r="M154" s="5" t="s">
        <v>32</v>
      </c>
      <c r="N154" s="5" t="s">
        <v>33</v>
      </c>
    </row>
    <row r="155" spans="1:14" ht="15.75" customHeight="1" x14ac:dyDescent="0.2">
      <c r="A155" s="5" t="s">
        <v>36</v>
      </c>
      <c r="B155" s="5">
        <v>32</v>
      </c>
      <c r="C155" s="5">
        <v>1578.08</v>
      </c>
      <c r="D155" s="5" t="s">
        <v>103</v>
      </c>
      <c r="E155" s="5" t="s">
        <v>104</v>
      </c>
      <c r="F155" s="5" t="s">
        <v>88</v>
      </c>
      <c r="G155" s="5" t="s">
        <v>90</v>
      </c>
      <c r="H155" s="5" t="s">
        <v>61</v>
      </c>
      <c r="I155" s="5" t="s">
        <v>36</v>
      </c>
      <c r="J155" s="5" t="s">
        <v>29</v>
      </c>
      <c r="K155" s="5" t="s">
        <v>30</v>
      </c>
      <c r="L155" s="5" t="s">
        <v>31</v>
      </c>
      <c r="M155" s="5" t="s">
        <v>32</v>
      </c>
      <c r="N155" s="5" t="s">
        <v>33</v>
      </c>
    </row>
    <row r="156" spans="1:14" ht="15.75" customHeight="1" x14ac:dyDescent="0.2">
      <c r="A156" s="5" t="s">
        <v>35</v>
      </c>
      <c r="B156" s="5">
        <v>32</v>
      </c>
      <c r="C156" s="5">
        <v>1578.08</v>
      </c>
      <c r="D156" s="5" t="s">
        <v>103</v>
      </c>
      <c r="E156" s="5" t="s">
        <v>104</v>
      </c>
      <c r="F156" s="5" t="s">
        <v>88</v>
      </c>
      <c r="G156" s="5" t="s">
        <v>91</v>
      </c>
      <c r="H156" s="5" t="s">
        <v>61</v>
      </c>
      <c r="I156" s="5" t="s">
        <v>36</v>
      </c>
      <c r="J156" s="5" t="s">
        <v>29</v>
      </c>
      <c r="K156" s="5" t="s">
        <v>30</v>
      </c>
      <c r="L156" s="5" t="s">
        <v>31</v>
      </c>
      <c r="M156" s="5" t="s">
        <v>32</v>
      </c>
      <c r="N156" s="5" t="s">
        <v>33</v>
      </c>
    </row>
    <row r="157" spans="1:14" ht="15.75" customHeight="1" x14ac:dyDescent="0.2">
      <c r="A157" s="5" t="s">
        <v>37</v>
      </c>
      <c r="B157" s="5">
        <v>7</v>
      </c>
      <c r="C157" s="5">
        <v>229.95</v>
      </c>
      <c r="D157" s="5" t="s">
        <v>103</v>
      </c>
      <c r="E157" s="5" t="s">
        <v>104</v>
      </c>
      <c r="F157" s="5" t="s">
        <v>88</v>
      </c>
      <c r="G157" s="5" t="s">
        <v>90</v>
      </c>
      <c r="H157" s="5" t="s">
        <v>61</v>
      </c>
      <c r="I157" s="5" t="s">
        <v>37</v>
      </c>
      <c r="J157" s="5" t="s">
        <v>29</v>
      </c>
      <c r="K157" s="5" t="s">
        <v>30</v>
      </c>
      <c r="L157" s="5" t="s">
        <v>31</v>
      </c>
      <c r="M157" s="5" t="s">
        <v>32</v>
      </c>
      <c r="N157" s="5" t="s">
        <v>33</v>
      </c>
    </row>
    <row r="158" spans="1:14" ht="15.75" customHeight="1" x14ac:dyDescent="0.2">
      <c r="A158" s="5" t="s">
        <v>35</v>
      </c>
      <c r="B158" s="5">
        <v>7</v>
      </c>
      <c r="C158" s="5">
        <v>229.95</v>
      </c>
      <c r="D158" s="5" t="s">
        <v>103</v>
      </c>
      <c r="E158" s="5" t="s">
        <v>104</v>
      </c>
      <c r="F158" s="5" t="s">
        <v>88</v>
      </c>
      <c r="G158" s="5" t="s">
        <v>91</v>
      </c>
      <c r="H158" s="5" t="s">
        <v>61</v>
      </c>
      <c r="I158" s="5" t="s">
        <v>37</v>
      </c>
      <c r="J158" s="5" t="s">
        <v>29</v>
      </c>
      <c r="K158" s="5" t="s">
        <v>30</v>
      </c>
      <c r="L158" s="5" t="s">
        <v>31</v>
      </c>
      <c r="M158" s="5" t="s">
        <v>32</v>
      </c>
      <c r="N158" s="5" t="s">
        <v>33</v>
      </c>
    </row>
    <row r="159" spans="1:14" ht="15.75" customHeight="1" x14ac:dyDescent="0.2">
      <c r="A159" s="5" t="s">
        <v>38</v>
      </c>
      <c r="B159" s="5">
        <v>0</v>
      </c>
      <c r="C159" s="5">
        <v>0</v>
      </c>
      <c r="D159" s="5" t="s">
        <v>103</v>
      </c>
      <c r="E159" s="5" t="s">
        <v>104</v>
      </c>
      <c r="F159" s="5" t="s">
        <v>88</v>
      </c>
      <c r="G159" s="5" t="s">
        <v>90</v>
      </c>
      <c r="H159" s="5" t="s">
        <v>61</v>
      </c>
      <c r="I159" s="5" t="s">
        <v>38</v>
      </c>
      <c r="J159" s="5" t="s">
        <v>29</v>
      </c>
      <c r="K159" s="5" t="s">
        <v>30</v>
      </c>
      <c r="L159" s="5" t="s">
        <v>31</v>
      </c>
      <c r="M159" s="5" t="s">
        <v>32</v>
      </c>
      <c r="N159" s="5" t="s">
        <v>33</v>
      </c>
    </row>
    <row r="160" spans="1:14" ht="15.75" customHeight="1" x14ac:dyDescent="0.2">
      <c r="A160" s="5" t="s">
        <v>35</v>
      </c>
      <c r="B160" s="5">
        <v>0</v>
      </c>
      <c r="C160" s="5">
        <v>0</v>
      </c>
      <c r="D160" s="5" t="s">
        <v>103</v>
      </c>
      <c r="E160" s="5" t="s">
        <v>104</v>
      </c>
      <c r="F160" s="5" t="s">
        <v>88</v>
      </c>
      <c r="G160" s="5" t="s">
        <v>91</v>
      </c>
      <c r="H160" s="5" t="s">
        <v>61</v>
      </c>
      <c r="I160" s="5" t="s">
        <v>38</v>
      </c>
      <c r="J160" s="5" t="s">
        <v>29</v>
      </c>
      <c r="K160" s="5" t="s">
        <v>30</v>
      </c>
      <c r="L160" s="5" t="s">
        <v>31</v>
      </c>
      <c r="M160" s="5" t="s">
        <v>32</v>
      </c>
      <c r="N160" s="5" t="s">
        <v>33</v>
      </c>
    </row>
    <row r="161" spans="1:14" ht="15.75" customHeight="1" x14ac:dyDescent="0.2">
      <c r="A161" s="5" t="s">
        <v>39</v>
      </c>
      <c r="B161" s="5">
        <v>0</v>
      </c>
      <c r="C161" s="5">
        <v>0</v>
      </c>
      <c r="D161" s="5" t="s">
        <v>103</v>
      </c>
      <c r="E161" s="5" t="s">
        <v>104</v>
      </c>
      <c r="F161" s="5" t="s">
        <v>88</v>
      </c>
      <c r="G161" s="5" t="s">
        <v>90</v>
      </c>
      <c r="H161" s="5" t="s">
        <v>61</v>
      </c>
      <c r="I161" s="5" t="s">
        <v>39</v>
      </c>
      <c r="J161" s="5" t="s">
        <v>29</v>
      </c>
      <c r="K161" s="5" t="s">
        <v>30</v>
      </c>
      <c r="L161" s="5" t="s">
        <v>31</v>
      </c>
      <c r="M161" s="5" t="s">
        <v>32</v>
      </c>
      <c r="N161" s="5" t="s">
        <v>33</v>
      </c>
    </row>
    <row r="162" spans="1:14" ht="15.75" customHeight="1" x14ac:dyDescent="0.2">
      <c r="A162" s="5" t="s">
        <v>35</v>
      </c>
      <c r="B162" s="5">
        <v>0</v>
      </c>
      <c r="C162" s="5">
        <v>0</v>
      </c>
      <c r="D162" s="5" t="s">
        <v>103</v>
      </c>
      <c r="E162" s="5" t="s">
        <v>104</v>
      </c>
      <c r="F162" s="5" t="s">
        <v>88</v>
      </c>
      <c r="G162" s="5" t="s">
        <v>91</v>
      </c>
      <c r="H162" s="5" t="s">
        <v>61</v>
      </c>
      <c r="I162" s="5" t="s">
        <v>39</v>
      </c>
      <c r="J162" s="5" t="s">
        <v>29</v>
      </c>
      <c r="K162" s="5" t="s">
        <v>30</v>
      </c>
      <c r="L162" s="5" t="s">
        <v>31</v>
      </c>
      <c r="M162" s="5" t="s">
        <v>32</v>
      </c>
      <c r="N162" s="5" t="s">
        <v>33</v>
      </c>
    </row>
    <row r="163" spans="1:14" ht="15.75" customHeight="1" x14ac:dyDescent="0.2">
      <c r="A163" s="5" t="s">
        <v>40</v>
      </c>
      <c r="B163" s="5">
        <v>0</v>
      </c>
      <c r="C163" s="5">
        <v>0</v>
      </c>
      <c r="D163" s="5" t="s">
        <v>103</v>
      </c>
      <c r="E163" s="5" t="s">
        <v>104</v>
      </c>
      <c r="F163" s="5" t="s">
        <v>88</v>
      </c>
      <c r="G163" s="5" t="s">
        <v>90</v>
      </c>
      <c r="H163" s="5" t="s">
        <v>61</v>
      </c>
      <c r="I163" s="5" t="s">
        <v>40</v>
      </c>
      <c r="J163" s="5" t="s">
        <v>29</v>
      </c>
      <c r="K163" s="5" t="s">
        <v>30</v>
      </c>
      <c r="L163" s="5" t="s">
        <v>31</v>
      </c>
      <c r="M163" s="5" t="s">
        <v>32</v>
      </c>
      <c r="N163" s="5" t="s">
        <v>33</v>
      </c>
    </row>
    <row r="164" spans="1:14" ht="15.75" customHeight="1" x14ac:dyDescent="0.2">
      <c r="A164" s="5" t="s">
        <v>35</v>
      </c>
      <c r="B164" s="5">
        <v>0</v>
      </c>
      <c r="C164" s="5">
        <v>0</v>
      </c>
      <c r="D164" s="5" t="s">
        <v>103</v>
      </c>
      <c r="E164" s="5" t="s">
        <v>104</v>
      </c>
      <c r="F164" s="5" t="s">
        <v>88</v>
      </c>
      <c r="G164" s="5" t="s">
        <v>91</v>
      </c>
      <c r="H164" s="5" t="s">
        <v>61</v>
      </c>
      <c r="I164" s="5" t="s">
        <v>40</v>
      </c>
      <c r="J164" s="5" t="s">
        <v>29</v>
      </c>
      <c r="K164" s="5" t="s">
        <v>30</v>
      </c>
      <c r="L164" s="5" t="s">
        <v>31</v>
      </c>
      <c r="M164" s="5" t="s">
        <v>32</v>
      </c>
      <c r="N164" s="5" t="s">
        <v>33</v>
      </c>
    </row>
    <row r="165" spans="1:14" ht="15.75" customHeight="1" x14ac:dyDescent="0.2">
      <c r="A165" s="5" t="s">
        <v>41</v>
      </c>
      <c r="B165" s="5">
        <v>0</v>
      </c>
      <c r="C165" s="5">
        <v>0</v>
      </c>
      <c r="D165" s="5" t="s">
        <v>103</v>
      </c>
      <c r="E165" s="5" t="s">
        <v>104</v>
      </c>
      <c r="F165" s="5" t="s">
        <v>88</v>
      </c>
      <c r="G165" s="5" t="s">
        <v>90</v>
      </c>
      <c r="H165" s="5" t="s">
        <v>61</v>
      </c>
      <c r="I165" s="5" t="s">
        <v>41</v>
      </c>
      <c r="J165" s="5" t="s">
        <v>29</v>
      </c>
      <c r="K165" s="5" t="s">
        <v>30</v>
      </c>
      <c r="L165" s="5" t="s">
        <v>31</v>
      </c>
      <c r="M165" s="5" t="s">
        <v>32</v>
      </c>
      <c r="N165" s="5" t="s">
        <v>33</v>
      </c>
    </row>
    <row r="166" spans="1:14" ht="15.75" customHeight="1" x14ac:dyDescent="0.2">
      <c r="A166" s="5" t="s">
        <v>35</v>
      </c>
      <c r="B166" s="5">
        <v>0</v>
      </c>
      <c r="C166" s="5">
        <v>0</v>
      </c>
      <c r="D166" s="5" t="s">
        <v>103</v>
      </c>
      <c r="E166" s="5" t="s">
        <v>104</v>
      </c>
      <c r="F166" s="5" t="s">
        <v>88</v>
      </c>
      <c r="G166" s="5" t="s">
        <v>91</v>
      </c>
      <c r="H166" s="5" t="s">
        <v>61</v>
      </c>
      <c r="I166" s="5" t="s">
        <v>41</v>
      </c>
      <c r="J166" s="5" t="s">
        <v>29</v>
      </c>
      <c r="K166" s="5" t="s">
        <v>30</v>
      </c>
      <c r="L166" s="5" t="s">
        <v>31</v>
      </c>
      <c r="M166" s="5" t="s">
        <v>32</v>
      </c>
      <c r="N166" s="5" t="s">
        <v>33</v>
      </c>
    </row>
    <row r="167" spans="1:14" ht="15.75" customHeight="1" x14ac:dyDescent="0.2">
      <c r="A167" s="5" t="s">
        <v>42</v>
      </c>
      <c r="B167" s="5">
        <v>11</v>
      </c>
      <c r="C167" s="5">
        <v>422.35</v>
      </c>
      <c r="D167" s="5" t="s">
        <v>103</v>
      </c>
      <c r="E167" s="5" t="s">
        <v>104</v>
      </c>
      <c r="F167" s="5" t="s">
        <v>88</v>
      </c>
      <c r="G167" s="5" t="s">
        <v>90</v>
      </c>
      <c r="H167" s="5" t="s">
        <v>61</v>
      </c>
      <c r="I167" s="5" t="s">
        <v>42</v>
      </c>
      <c r="J167" s="5" t="s">
        <v>29</v>
      </c>
      <c r="K167" s="5" t="s">
        <v>30</v>
      </c>
      <c r="L167" s="5" t="s">
        <v>31</v>
      </c>
      <c r="M167" s="5" t="s">
        <v>32</v>
      </c>
      <c r="N167" s="5" t="s">
        <v>33</v>
      </c>
    </row>
    <row r="168" spans="1:14" ht="15.75" customHeight="1" x14ac:dyDescent="0.2">
      <c r="A168" s="5" t="s">
        <v>35</v>
      </c>
      <c r="B168" s="5">
        <v>11</v>
      </c>
      <c r="C168" s="5">
        <v>422.35</v>
      </c>
      <c r="D168" s="5" t="s">
        <v>103</v>
      </c>
      <c r="E168" s="5" t="s">
        <v>104</v>
      </c>
      <c r="F168" s="5" t="s">
        <v>88</v>
      </c>
      <c r="G168" s="5" t="s">
        <v>91</v>
      </c>
      <c r="H168" s="5" t="s">
        <v>61</v>
      </c>
      <c r="I168" s="5" t="s">
        <v>42</v>
      </c>
      <c r="J168" s="5" t="s">
        <v>29</v>
      </c>
      <c r="K168" s="5" t="s">
        <v>30</v>
      </c>
      <c r="L168" s="5" t="s">
        <v>31</v>
      </c>
      <c r="M168" s="5" t="s">
        <v>32</v>
      </c>
      <c r="N168" s="5" t="s">
        <v>33</v>
      </c>
    </row>
    <row r="169" spans="1:14" ht="15.75" customHeight="1" x14ac:dyDescent="0.2">
      <c r="A169" s="5" t="s">
        <v>43</v>
      </c>
      <c r="B169" s="5">
        <v>0</v>
      </c>
      <c r="C169" s="5">
        <v>0</v>
      </c>
      <c r="D169" s="5" t="s">
        <v>103</v>
      </c>
      <c r="E169" s="5" t="s">
        <v>104</v>
      </c>
      <c r="F169" s="5" t="s">
        <v>88</v>
      </c>
      <c r="G169" s="5" t="s">
        <v>90</v>
      </c>
      <c r="H169" s="5" t="s">
        <v>61</v>
      </c>
      <c r="I169" s="5" t="s">
        <v>43</v>
      </c>
      <c r="J169" s="5" t="s">
        <v>29</v>
      </c>
      <c r="K169" s="5" t="s">
        <v>30</v>
      </c>
      <c r="L169" s="5" t="s">
        <v>31</v>
      </c>
      <c r="M169" s="5" t="s">
        <v>32</v>
      </c>
      <c r="N169" s="5" t="s">
        <v>33</v>
      </c>
    </row>
    <row r="170" spans="1:14" ht="15.75" customHeight="1" x14ac:dyDescent="0.2">
      <c r="A170" s="5" t="s">
        <v>35</v>
      </c>
      <c r="B170" s="5">
        <v>0</v>
      </c>
      <c r="C170" s="5">
        <v>0</v>
      </c>
      <c r="D170" s="5" t="s">
        <v>103</v>
      </c>
      <c r="E170" s="5" t="s">
        <v>104</v>
      </c>
      <c r="F170" s="5" t="s">
        <v>88</v>
      </c>
      <c r="G170" s="5" t="s">
        <v>91</v>
      </c>
      <c r="H170" s="5" t="s">
        <v>61</v>
      </c>
      <c r="I170" s="5" t="s">
        <v>43</v>
      </c>
      <c r="J170" s="5" t="s">
        <v>29</v>
      </c>
      <c r="K170" s="5" t="s">
        <v>30</v>
      </c>
      <c r="L170" s="5" t="s">
        <v>31</v>
      </c>
      <c r="M170" s="5" t="s">
        <v>32</v>
      </c>
      <c r="N170" s="5" t="s">
        <v>33</v>
      </c>
    </row>
    <row r="171" spans="1:14" ht="15.75" customHeight="1" x14ac:dyDescent="0.2">
      <c r="A171" s="5" t="s">
        <v>44</v>
      </c>
      <c r="B171" s="5">
        <v>0</v>
      </c>
      <c r="C171" s="5">
        <v>0</v>
      </c>
      <c r="D171" s="5" t="s">
        <v>103</v>
      </c>
      <c r="E171" s="5" t="s">
        <v>104</v>
      </c>
      <c r="F171" s="5" t="s">
        <v>88</v>
      </c>
      <c r="G171" s="5" t="s">
        <v>90</v>
      </c>
      <c r="H171" s="5" t="s">
        <v>61</v>
      </c>
      <c r="I171" s="5" t="s">
        <v>44</v>
      </c>
      <c r="J171" s="5" t="s">
        <v>29</v>
      </c>
      <c r="K171" s="5" t="s">
        <v>30</v>
      </c>
      <c r="L171" s="5" t="s">
        <v>31</v>
      </c>
      <c r="M171" s="5" t="s">
        <v>32</v>
      </c>
      <c r="N171" s="5" t="s">
        <v>33</v>
      </c>
    </row>
    <row r="172" spans="1:14" ht="15.75" customHeight="1" x14ac:dyDescent="0.2">
      <c r="A172" s="5" t="s">
        <v>35</v>
      </c>
      <c r="B172" s="5">
        <v>0</v>
      </c>
      <c r="C172" s="5">
        <v>0</v>
      </c>
      <c r="D172" s="5" t="s">
        <v>103</v>
      </c>
      <c r="E172" s="5" t="s">
        <v>104</v>
      </c>
      <c r="F172" s="5" t="s">
        <v>88</v>
      </c>
      <c r="G172" s="5" t="s">
        <v>91</v>
      </c>
      <c r="H172" s="5" t="s">
        <v>61</v>
      </c>
      <c r="I172" s="5" t="s">
        <v>44</v>
      </c>
      <c r="J172" s="5" t="s">
        <v>29</v>
      </c>
      <c r="K172" s="5" t="s">
        <v>30</v>
      </c>
      <c r="L172" s="5" t="s">
        <v>31</v>
      </c>
      <c r="M172" s="5" t="s">
        <v>32</v>
      </c>
      <c r="N172" s="5" t="s">
        <v>33</v>
      </c>
    </row>
    <row r="173" spans="1:14" ht="15.75" customHeight="1" x14ac:dyDescent="0.2">
      <c r="A173" s="5" t="s">
        <v>45</v>
      </c>
      <c r="B173" s="5">
        <v>0</v>
      </c>
      <c r="C173" s="5">
        <v>0</v>
      </c>
      <c r="D173" s="5" t="s">
        <v>103</v>
      </c>
      <c r="E173" s="5" t="s">
        <v>104</v>
      </c>
      <c r="F173" s="5" t="s">
        <v>88</v>
      </c>
      <c r="G173" s="5" t="s">
        <v>90</v>
      </c>
      <c r="H173" s="5" t="s">
        <v>61</v>
      </c>
      <c r="I173" s="5" t="s">
        <v>45</v>
      </c>
      <c r="J173" s="5" t="s">
        <v>29</v>
      </c>
      <c r="K173" s="5" t="s">
        <v>30</v>
      </c>
      <c r="L173" s="5" t="s">
        <v>31</v>
      </c>
      <c r="M173" s="5" t="s">
        <v>32</v>
      </c>
      <c r="N173" s="5" t="s">
        <v>33</v>
      </c>
    </row>
    <row r="174" spans="1:14" ht="15.75" customHeight="1" x14ac:dyDescent="0.2">
      <c r="A174" s="5" t="s">
        <v>35</v>
      </c>
      <c r="B174" s="5">
        <v>0</v>
      </c>
      <c r="C174" s="5">
        <v>0</v>
      </c>
      <c r="D174" s="5" t="s">
        <v>103</v>
      </c>
      <c r="E174" s="5" t="s">
        <v>104</v>
      </c>
      <c r="F174" s="5" t="s">
        <v>88</v>
      </c>
      <c r="G174" s="5" t="s">
        <v>91</v>
      </c>
      <c r="H174" s="5" t="s">
        <v>61</v>
      </c>
      <c r="I174" s="5" t="s">
        <v>45</v>
      </c>
      <c r="J174" s="5" t="s">
        <v>29</v>
      </c>
      <c r="K174" s="5" t="s">
        <v>30</v>
      </c>
      <c r="L174" s="5" t="s">
        <v>31</v>
      </c>
      <c r="M174" s="5" t="s">
        <v>32</v>
      </c>
      <c r="N174" s="5" t="s">
        <v>33</v>
      </c>
    </row>
    <row r="175" spans="1:14" ht="15.75" customHeight="1" x14ac:dyDescent="0.2">
      <c r="A175" s="5" t="s">
        <v>46</v>
      </c>
      <c r="B175" s="5">
        <v>0</v>
      </c>
      <c r="C175" s="5">
        <v>0</v>
      </c>
      <c r="D175" s="5" t="s">
        <v>103</v>
      </c>
      <c r="E175" s="5" t="s">
        <v>104</v>
      </c>
      <c r="F175" s="5" t="s">
        <v>88</v>
      </c>
      <c r="G175" s="5" t="s">
        <v>90</v>
      </c>
      <c r="H175" s="5" t="s">
        <v>61</v>
      </c>
      <c r="I175" s="5" t="s">
        <v>46</v>
      </c>
      <c r="J175" s="5" t="s">
        <v>29</v>
      </c>
      <c r="K175" s="5" t="s">
        <v>30</v>
      </c>
      <c r="L175" s="5" t="s">
        <v>31</v>
      </c>
      <c r="M175" s="5" t="s">
        <v>32</v>
      </c>
      <c r="N175" s="5" t="s">
        <v>33</v>
      </c>
    </row>
    <row r="176" spans="1:14" ht="15.75" customHeight="1" x14ac:dyDescent="0.2">
      <c r="A176" s="5" t="s">
        <v>35</v>
      </c>
      <c r="B176" s="5">
        <v>0</v>
      </c>
      <c r="C176" s="5">
        <v>0</v>
      </c>
      <c r="D176" s="5" t="s">
        <v>103</v>
      </c>
      <c r="E176" s="5" t="s">
        <v>104</v>
      </c>
      <c r="F176" s="5" t="s">
        <v>88</v>
      </c>
      <c r="G176" s="5" t="s">
        <v>91</v>
      </c>
      <c r="H176" s="5" t="s">
        <v>61</v>
      </c>
      <c r="I176" s="5" t="s">
        <v>46</v>
      </c>
      <c r="J176" s="5" t="s">
        <v>29</v>
      </c>
      <c r="K176" s="5" t="s">
        <v>30</v>
      </c>
      <c r="L176" s="5" t="s">
        <v>31</v>
      </c>
      <c r="M176" s="5" t="s">
        <v>32</v>
      </c>
      <c r="N176" s="5" t="s">
        <v>33</v>
      </c>
    </row>
    <row r="177" spans="1:14" ht="15.75" customHeight="1" x14ac:dyDescent="0.2">
      <c r="A177" s="5" t="s">
        <v>87</v>
      </c>
      <c r="B177" s="5">
        <v>38</v>
      </c>
      <c r="C177" s="5">
        <v>1749.34</v>
      </c>
      <c r="D177" s="5" t="s">
        <v>105</v>
      </c>
      <c r="E177" s="5" t="s">
        <v>104</v>
      </c>
      <c r="F177" s="5" t="s">
        <v>88</v>
      </c>
      <c r="G177" s="5" t="s">
        <v>89</v>
      </c>
      <c r="H177" s="5" t="s">
        <v>60</v>
      </c>
      <c r="I177" s="5" t="s">
        <v>87</v>
      </c>
      <c r="J177" s="5" t="s">
        <v>29</v>
      </c>
      <c r="K177" s="5" t="s">
        <v>30</v>
      </c>
      <c r="L177" s="5" t="s">
        <v>31</v>
      </c>
      <c r="M177" s="5" t="s">
        <v>32</v>
      </c>
      <c r="N177" s="5" t="s">
        <v>33</v>
      </c>
    </row>
    <row r="178" spans="1:14" ht="15.75" customHeight="1" x14ac:dyDescent="0.2">
      <c r="A178" s="5" t="s">
        <v>34</v>
      </c>
      <c r="B178" s="5">
        <v>6</v>
      </c>
      <c r="C178" s="5">
        <v>302.98</v>
      </c>
      <c r="D178" s="5" t="s">
        <v>105</v>
      </c>
      <c r="E178" s="5" t="s">
        <v>104</v>
      </c>
      <c r="F178" s="5" t="s">
        <v>88</v>
      </c>
      <c r="G178" s="5" t="s">
        <v>90</v>
      </c>
      <c r="H178" s="5" t="s">
        <v>60</v>
      </c>
      <c r="I178" s="5" t="s">
        <v>34</v>
      </c>
      <c r="J178" s="5" t="s">
        <v>29</v>
      </c>
      <c r="K178" s="5" t="s">
        <v>30</v>
      </c>
      <c r="L178" s="5" t="s">
        <v>31</v>
      </c>
      <c r="M178" s="5" t="s">
        <v>32</v>
      </c>
      <c r="N178" s="5" t="s">
        <v>33</v>
      </c>
    </row>
    <row r="179" spans="1:14" ht="15.75" customHeight="1" x14ac:dyDescent="0.2">
      <c r="A179" s="5" t="s">
        <v>35</v>
      </c>
      <c r="B179" s="5">
        <v>6</v>
      </c>
      <c r="C179" s="5">
        <v>302.98</v>
      </c>
      <c r="D179" s="5" t="s">
        <v>105</v>
      </c>
      <c r="E179" s="5" t="s">
        <v>104</v>
      </c>
      <c r="F179" s="5" t="s">
        <v>88</v>
      </c>
      <c r="G179" s="5" t="s">
        <v>91</v>
      </c>
      <c r="H179" s="5" t="s">
        <v>60</v>
      </c>
      <c r="I179" s="5" t="s">
        <v>34</v>
      </c>
      <c r="J179" s="5" t="s">
        <v>29</v>
      </c>
      <c r="K179" s="5" t="s">
        <v>30</v>
      </c>
      <c r="L179" s="5" t="s">
        <v>31</v>
      </c>
      <c r="M179" s="5" t="s">
        <v>32</v>
      </c>
      <c r="N179" s="5" t="s">
        <v>33</v>
      </c>
    </row>
    <row r="180" spans="1:14" ht="15.75" customHeight="1" x14ac:dyDescent="0.2">
      <c r="A180" s="5" t="s">
        <v>36</v>
      </c>
      <c r="B180" s="5">
        <v>18</v>
      </c>
      <c r="C180" s="5">
        <v>803.24</v>
      </c>
      <c r="D180" s="5" t="s">
        <v>105</v>
      </c>
      <c r="E180" s="5" t="s">
        <v>104</v>
      </c>
      <c r="F180" s="5" t="s">
        <v>88</v>
      </c>
      <c r="G180" s="5" t="s">
        <v>90</v>
      </c>
      <c r="H180" s="5" t="s">
        <v>60</v>
      </c>
      <c r="I180" s="5" t="s">
        <v>36</v>
      </c>
      <c r="J180" s="5" t="s">
        <v>29</v>
      </c>
      <c r="K180" s="5" t="s">
        <v>30</v>
      </c>
      <c r="L180" s="5" t="s">
        <v>31</v>
      </c>
      <c r="M180" s="5" t="s">
        <v>32</v>
      </c>
      <c r="N180" s="5" t="s">
        <v>33</v>
      </c>
    </row>
    <row r="181" spans="1:14" ht="15.75" customHeight="1" x14ac:dyDescent="0.2">
      <c r="A181" s="5" t="s">
        <v>35</v>
      </c>
      <c r="B181" s="5">
        <v>18</v>
      </c>
      <c r="C181" s="5">
        <v>803.24</v>
      </c>
      <c r="D181" s="5" t="s">
        <v>105</v>
      </c>
      <c r="E181" s="5" t="s">
        <v>104</v>
      </c>
      <c r="F181" s="5" t="s">
        <v>88</v>
      </c>
      <c r="G181" s="5" t="s">
        <v>91</v>
      </c>
      <c r="H181" s="5" t="s">
        <v>60</v>
      </c>
      <c r="I181" s="5" t="s">
        <v>36</v>
      </c>
      <c r="J181" s="5" t="s">
        <v>29</v>
      </c>
      <c r="K181" s="5" t="s">
        <v>30</v>
      </c>
      <c r="L181" s="5" t="s">
        <v>31</v>
      </c>
      <c r="M181" s="5" t="s">
        <v>32</v>
      </c>
      <c r="N181" s="5" t="s">
        <v>33</v>
      </c>
    </row>
    <row r="182" spans="1:14" ht="15.75" customHeight="1" x14ac:dyDescent="0.2">
      <c r="A182" s="5" t="s">
        <v>37</v>
      </c>
      <c r="B182" s="5">
        <v>0</v>
      </c>
      <c r="C182" s="5">
        <v>0</v>
      </c>
      <c r="D182" s="5" t="s">
        <v>105</v>
      </c>
      <c r="E182" s="5" t="s">
        <v>104</v>
      </c>
      <c r="F182" s="5" t="s">
        <v>88</v>
      </c>
      <c r="G182" s="5" t="s">
        <v>90</v>
      </c>
      <c r="H182" s="5" t="s">
        <v>60</v>
      </c>
      <c r="I182" s="5" t="s">
        <v>37</v>
      </c>
      <c r="J182" s="5" t="s">
        <v>29</v>
      </c>
      <c r="K182" s="5" t="s">
        <v>30</v>
      </c>
      <c r="L182" s="5" t="s">
        <v>31</v>
      </c>
      <c r="M182" s="5" t="s">
        <v>32</v>
      </c>
      <c r="N182" s="5" t="s">
        <v>33</v>
      </c>
    </row>
    <row r="183" spans="1:14" ht="15.75" customHeight="1" x14ac:dyDescent="0.2">
      <c r="A183" s="5" t="s">
        <v>35</v>
      </c>
      <c r="B183" s="5">
        <v>0</v>
      </c>
      <c r="C183" s="5">
        <v>0</v>
      </c>
      <c r="D183" s="5" t="s">
        <v>105</v>
      </c>
      <c r="E183" s="5" t="s">
        <v>104</v>
      </c>
      <c r="F183" s="5" t="s">
        <v>88</v>
      </c>
      <c r="G183" s="5" t="s">
        <v>91</v>
      </c>
      <c r="H183" s="5" t="s">
        <v>60</v>
      </c>
      <c r="I183" s="5" t="s">
        <v>37</v>
      </c>
      <c r="J183" s="5" t="s">
        <v>29</v>
      </c>
      <c r="K183" s="5" t="s">
        <v>30</v>
      </c>
      <c r="L183" s="5" t="s">
        <v>31</v>
      </c>
      <c r="M183" s="5" t="s">
        <v>32</v>
      </c>
      <c r="N183" s="5" t="s">
        <v>33</v>
      </c>
    </row>
    <row r="184" spans="1:14" ht="15.75" customHeight="1" x14ac:dyDescent="0.2">
      <c r="A184" s="5" t="s">
        <v>38</v>
      </c>
      <c r="B184" s="5">
        <v>0</v>
      </c>
      <c r="C184" s="5">
        <v>0</v>
      </c>
      <c r="D184" s="5" t="s">
        <v>105</v>
      </c>
      <c r="E184" s="5" t="s">
        <v>104</v>
      </c>
      <c r="F184" s="5" t="s">
        <v>88</v>
      </c>
      <c r="G184" s="5" t="s">
        <v>90</v>
      </c>
      <c r="H184" s="5" t="s">
        <v>60</v>
      </c>
      <c r="I184" s="5" t="s">
        <v>38</v>
      </c>
      <c r="J184" s="5" t="s">
        <v>29</v>
      </c>
      <c r="K184" s="5" t="s">
        <v>30</v>
      </c>
      <c r="L184" s="5" t="s">
        <v>31</v>
      </c>
      <c r="M184" s="5" t="s">
        <v>32</v>
      </c>
      <c r="N184" s="5" t="s">
        <v>33</v>
      </c>
    </row>
    <row r="185" spans="1:14" ht="15.75" customHeight="1" x14ac:dyDescent="0.2">
      <c r="A185" s="5" t="s">
        <v>35</v>
      </c>
      <c r="B185" s="5">
        <v>0</v>
      </c>
      <c r="C185" s="5">
        <v>0</v>
      </c>
      <c r="D185" s="5" t="s">
        <v>105</v>
      </c>
      <c r="E185" s="5" t="s">
        <v>104</v>
      </c>
      <c r="F185" s="5" t="s">
        <v>88</v>
      </c>
      <c r="G185" s="5" t="s">
        <v>91</v>
      </c>
      <c r="H185" s="5" t="s">
        <v>60</v>
      </c>
      <c r="I185" s="5" t="s">
        <v>38</v>
      </c>
      <c r="J185" s="5" t="s">
        <v>29</v>
      </c>
      <c r="K185" s="5" t="s">
        <v>30</v>
      </c>
      <c r="L185" s="5" t="s">
        <v>31</v>
      </c>
      <c r="M185" s="5" t="s">
        <v>32</v>
      </c>
      <c r="N185" s="5" t="s">
        <v>33</v>
      </c>
    </row>
    <row r="186" spans="1:14" ht="15.75" customHeight="1" x14ac:dyDescent="0.2">
      <c r="A186" s="5" t="s">
        <v>39</v>
      </c>
      <c r="B186" s="5">
        <v>0</v>
      </c>
      <c r="C186" s="5">
        <v>0</v>
      </c>
      <c r="D186" s="5" t="s">
        <v>105</v>
      </c>
      <c r="E186" s="5" t="s">
        <v>104</v>
      </c>
      <c r="F186" s="5" t="s">
        <v>88</v>
      </c>
      <c r="G186" s="5" t="s">
        <v>90</v>
      </c>
      <c r="H186" s="5" t="s">
        <v>60</v>
      </c>
      <c r="I186" s="5" t="s">
        <v>39</v>
      </c>
      <c r="J186" s="5" t="s">
        <v>29</v>
      </c>
      <c r="K186" s="5" t="s">
        <v>30</v>
      </c>
      <c r="L186" s="5" t="s">
        <v>31</v>
      </c>
      <c r="M186" s="5" t="s">
        <v>32</v>
      </c>
      <c r="N186" s="5" t="s">
        <v>33</v>
      </c>
    </row>
    <row r="187" spans="1:14" ht="15.75" customHeight="1" x14ac:dyDescent="0.2">
      <c r="A187" s="5" t="s">
        <v>35</v>
      </c>
      <c r="B187" s="5">
        <v>0</v>
      </c>
      <c r="C187" s="5">
        <v>0</v>
      </c>
      <c r="D187" s="5" t="s">
        <v>105</v>
      </c>
      <c r="E187" s="5" t="s">
        <v>104</v>
      </c>
      <c r="F187" s="5" t="s">
        <v>88</v>
      </c>
      <c r="G187" s="5" t="s">
        <v>91</v>
      </c>
      <c r="H187" s="5" t="s">
        <v>60</v>
      </c>
      <c r="I187" s="5" t="s">
        <v>39</v>
      </c>
      <c r="J187" s="5" t="s">
        <v>29</v>
      </c>
      <c r="K187" s="5" t="s">
        <v>30</v>
      </c>
      <c r="L187" s="5" t="s">
        <v>31</v>
      </c>
      <c r="M187" s="5" t="s">
        <v>32</v>
      </c>
      <c r="N187" s="5" t="s">
        <v>33</v>
      </c>
    </row>
    <row r="188" spans="1:14" ht="15.75" customHeight="1" x14ac:dyDescent="0.2">
      <c r="A188" s="5" t="s">
        <v>40</v>
      </c>
      <c r="B188" s="5">
        <v>0</v>
      </c>
      <c r="C188" s="5">
        <v>0</v>
      </c>
      <c r="D188" s="5" t="s">
        <v>105</v>
      </c>
      <c r="E188" s="5" t="s">
        <v>104</v>
      </c>
      <c r="F188" s="5" t="s">
        <v>88</v>
      </c>
      <c r="G188" s="5" t="s">
        <v>90</v>
      </c>
      <c r="H188" s="5" t="s">
        <v>60</v>
      </c>
      <c r="I188" s="5" t="s">
        <v>40</v>
      </c>
      <c r="J188" s="5" t="s">
        <v>29</v>
      </c>
      <c r="K188" s="5" t="s">
        <v>30</v>
      </c>
      <c r="L188" s="5" t="s">
        <v>31</v>
      </c>
      <c r="M188" s="5" t="s">
        <v>32</v>
      </c>
      <c r="N188" s="5" t="s">
        <v>33</v>
      </c>
    </row>
    <row r="189" spans="1:14" ht="15.75" customHeight="1" x14ac:dyDescent="0.2">
      <c r="A189" s="5" t="s">
        <v>35</v>
      </c>
      <c r="B189" s="5">
        <v>0</v>
      </c>
      <c r="C189" s="5">
        <v>0</v>
      </c>
      <c r="D189" s="5" t="s">
        <v>105</v>
      </c>
      <c r="E189" s="5" t="s">
        <v>104</v>
      </c>
      <c r="F189" s="5" t="s">
        <v>88</v>
      </c>
      <c r="G189" s="5" t="s">
        <v>91</v>
      </c>
      <c r="H189" s="5" t="s">
        <v>60</v>
      </c>
      <c r="I189" s="5" t="s">
        <v>40</v>
      </c>
      <c r="J189" s="5" t="s">
        <v>29</v>
      </c>
      <c r="K189" s="5" t="s">
        <v>30</v>
      </c>
      <c r="L189" s="5" t="s">
        <v>31</v>
      </c>
      <c r="M189" s="5" t="s">
        <v>32</v>
      </c>
      <c r="N189" s="5" t="s">
        <v>33</v>
      </c>
    </row>
    <row r="190" spans="1:14" ht="15.75" customHeight="1" x14ac:dyDescent="0.2">
      <c r="A190" s="5" t="s">
        <v>41</v>
      </c>
      <c r="B190" s="5">
        <v>0</v>
      </c>
      <c r="C190" s="5">
        <v>0</v>
      </c>
      <c r="D190" s="5" t="s">
        <v>105</v>
      </c>
      <c r="E190" s="5" t="s">
        <v>104</v>
      </c>
      <c r="F190" s="5" t="s">
        <v>88</v>
      </c>
      <c r="G190" s="5" t="s">
        <v>90</v>
      </c>
      <c r="H190" s="5" t="s">
        <v>60</v>
      </c>
      <c r="I190" s="5" t="s">
        <v>41</v>
      </c>
      <c r="J190" s="5" t="s">
        <v>29</v>
      </c>
      <c r="K190" s="5" t="s">
        <v>30</v>
      </c>
      <c r="L190" s="5" t="s">
        <v>31</v>
      </c>
      <c r="M190" s="5" t="s">
        <v>32</v>
      </c>
      <c r="N190" s="5" t="s">
        <v>33</v>
      </c>
    </row>
    <row r="191" spans="1:14" ht="15.75" customHeight="1" x14ac:dyDescent="0.2">
      <c r="A191" s="5" t="s">
        <v>35</v>
      </c>
      <c r="B191" s="5">
        <v>0</v>
      </c>
      <c r="C191" s="5">
        <v>0</v>
      </c>
      <c r="D191" s="5" t="s">
        <v>105</v>
      </c>
      <c r="E191" s="5" t="s">
        <v>104</v>
      </c>
      <c r="F191" s="5" t="s">
        <v>88</v>
      </c>
      <c r="G191" s="5" t="s">
        <v>91</v>
      </c>
      <c r="H191" s="5" t="s">
        <v>60</v>
      </c>
      <c r="I191" s="5" t="s">
        <v>41</v>
      </c>
      <c r="J191" s="5" t="s">
        <v>29</v>
      </c>
      <c r="K191" s="5" t="s">
        <v>30</v>
      </c>
      <c r="L191" s="5" t="s">
        <v>31</v>
      </c>
      <c r="M191" s="5" t="s">
        <v>32</v>
      </c>
      <c r="N191" s="5" t="s">
        <v>33</v>
      </c>
    </row>
    <row r="192" spans="1:14" ht="15.75" customHeight="1" x14ac:dyDescent="0.2">
      <c r="A192" s="5" t="s">
        <v>42</v>
      </c>
      <c r="B192" s="5">
        <v>14</v>
      </c>
      <c r="C192" s="5">
        <v>643.12</v>
      </c>
      <c r="D192" s="5" t="s">
        <v>105</v>
      </c>
      <c r="E192" s="5" t="s">
        <v>104</v>
      </c>
      <c r="F192" s="5" t="s">
        <v>88</v>
      </c>
      <c r="G192" s="5" t="s">
        <v>90</v>
      </c>
      <c r="H192" s="5" t="s">
        <v>60</v>
      </c>
      <c r="I192" s="5" t="s">
        <v>42</v>
      </c>
      <c r="J192" s="5" t="s">
        <v>29</v>
      </c>
      <c r="K192" s="5" t="s">
        <v>30</v>
      </c>
      <c r="L192" s="5" t="s">
        <v>31</v>
      </c>
      <c r="M192" s="5" t="s">
        <v>32</v>
      </c>
      <c r="N192" s="5" t="s">
        <v>33</v>
      </c>
    </row>
    <row r="193" spans="1:14" ht="15.75" customHeight="1" x14ac:dyDescent="0.2">
      <c r="A193" s="5" t="s">
        <v>35</v>
      </c>
      <c r="B193" s="5">
        <v>14</v>
      </c>
      <c r="C193" s="5">
        <v>643.12</v>
      </c>
      <c r="D193" s="5" t="s">
        <v>105</v>
      </c>
      <c r="E193" s="5" t="s">
        <v>104</v>
      </c>
      <c r="F193" s="5" t="s">
        <v>88</v>
      </c>
      <c r="G193" s="5" t="s">
        <v>91</v>
      </c>
      <c r="H193" s="5" t="s">
        <v>60</v>
      </c>
      <c r="I193" s="5" t="s">
        <v>42</v>
      </c>
      <c r="J193" s="5" t="s">
        <v>29</v>
      </c>
      <c r="K193" s="5" t="s">
        <v>30</v>
      </c>
      <c r="L193" s="5" t="s">
        <v>31</v>
      </c>
      <c r="M193" s="5" t="s">
        <v>32</v>
      </c>
      <c r="N193" s="5" t="s">
        <v>33</v>
      </c>
    </row>
    <row r="194" spans="1:14" ht="15.75" customHeight="1" x14ac:dyDescent="0.2">
      <c r="A194" s="5" t="s">
        <v>43</v>
      </c>
      <c r="B194" s="5">
        <v>0</v>
      </c>
      <c r="C194" s="5">
        <v>0</v>
      </c>
      <c r="D194" s="5" t="s">
        <v>105</v>
      </c>
      <c r="E194" s="5" t="s">
        <v>104</v>
      </c>
      <c r="F194" s="5" t="s">
        <v>88</v>
      </c>
      <c r="G194" s="5" t="s">
        <v>90</v>
      </c>
      <c r="H194" s="5" t="s">
        <v>60</v>
      </c>
      <c r="I194" s="5" t="s">
        <v>43</v>
      </c>
      <c r="J194" s="5" t="s">
        <v>29</v>
      </c>
      <c r="K194" s="5" t="s">
        <v>30</v>
      </c>
      <c r="L194" s="5" t="s">
        <v>31</v>
      </c>
      <c r="M194" s="5" t="s">
        <v>32</v>
      </c>
      <c r="N194" s="5" t="s">
        <v>33</v>
      </c>
    </row>
    <row r="195" spans="1:14" ht="15.75" customHeight="1" x14ac:dyDescent="0.2">
      <c r="A195" s="5" t="s">
        <v>35</v>
      </c>
      <c r="B195" s="5">
        <v>0</v>
      </c>
      <c r="C195" s="5">
        <v>0</v>
      </c>
      <c r="D195" s="5" t="s">
        <v>105</v>
      </c>
      <c r="E195" s="5" t="s">
        <v>104</v>
      </c>
      <c r="F195" s="5" t="s">
        <v>88</v>
      </c>
      <c r="G195" s="5" t="s">
        <v>91</v>
      </c>
      <c r="H195" s="5" t="s">
        <v>60</v>
      </c>
      <c r="I195" s="5" t="s">
        <v>43</v>
      </c>
      <c r="J195" s="5" t="s">
        <v>29</v>
      </c>
      <c r="K195" s="5" t="s">
        <v>30</v>
      </c>
      <c r="L195" s="5" t="s">
        <v>31</v>
      </c>
      <c r="M195" s="5" t="s">
        <v>32</v>
      </c>
      <c r="N195" s="5" t="s">
        <v>33</v>
      </c>
    </row>
    <row r="196" spans="1:14" ht="15.75" customHeight="1" x14ac:dyDescent="0.2">
      <c r="A196" s="5" t="s">
        <v>44</v>
      </c>
      <c r="B196" s="5">
        <v>0</v>
      </c>
      <c r="C196" s="5">
        <v>0</v>
      </c>
      <c r="D196" s="5" t="s">
        <v>105</v>
      </c>
      <c r="E196" s="5" t="s">
        <v>104</v>
      </c>
      <c r="F196" s="5" t="s">
        <v>88</v>
      </c>
      <c r="G196" s="5" t="s">
        <v>90</v>
      </c>
      <c r="H196" s="5" t="s">
        <v>60</v>
      </c>
      <c r="I196" s="5" t="s">
        <v>44</v>
      </c>
      <c r="J196" s="5" t="s">
        <v>29</v>
      </c>
      <c r="K196" s="5" t="s">
        <v>30</v>
      </c>
      <c r="L196" s="5" t="s">
        <v>31</v>
      </c>
      <c r="M196" s="5" t="s">
        <v>32</v>
      </c>
      <c r="N196" s="5" t="s">
        <v>33</v>
      </c>
    </row>
    <row r="197" spans="1:14" ht="15.75" customHeight="1" x14ac:dyDescent="0.2">
      <c r="A197" s="5" t="s">
        <v>35</v>
      </c>
      <c r="B197" s="5">
        <v>0</v>
      </c>
      <c r="C197" s="5">
        <v>0</v>
      </c>
      <c r="D197" s="5" t="s">
        <v>105</v>
      </c>
      <c r="E197" s="5" t="s">
        <v>104</v>
      </c>
      <c r="F197" s="5" t="s">
        <v>88</v>
      </c>
      <c r="G197" s="5" t="s">
        <v>91</v>
      </c>
      <c r="H197" s="5" t="s">
        <v>60</v>
      </c>
      <c r="I197" s="5" t="s">
        <v>44</v>
      </c>
      <c r="J197" s="5" t="s">
        <v>29</v>
      </c>
      <c r="K197" s="5" t="s">
        <v>30</v>
      </c>
      <c r="L197" s="5" t="s">
        <v>31</v>
      </c>
      <c r="M197" s="5" t="s">
        <v>32</v>
      </c>
      <c r="N197" s="5" t="s">
        <v>33</v>
      </c>
    </row>
    <row r="198" spans="1:14" ht="15.75" customHeight="1" x14ac:dyDescent="0.2">
      <c r="A198" s="5" t="s">
        <v>45</v>
      </c>
      <c r="B198" s="5">
        <v>0</v>
      </c>
      <c r="C198" s="5">
        <v>0</v>
      </c>
      <c r="D198" s="5" t="s">
        <v>105</v>
      </c>
      <c r="E198" s="5" t="s">
        <v>104</v>
      </c>
      <c r="F198" s="5" t="s">
        <v>88</v>
      </c>
      <c r="G198" s="5" t="s">
        <v>90</v>
      </c>
      <c r="H198" s="5" t="s">
        <v>60</v>
      </c>
      <c r="I198" s="5" t="s">
        <v>45</v>
      </c>
      <c r="J198" s="5" t="s">
        <v>29</v>
      </c>
      <c r="K198" s="5" t="s">
        <v>30</v>
      </c>
      <c r="L198" s="5" t="s">
        <v>31</v>
      </c>
      <c r="M198" s="5" t="s">
        <v>32</v>
      </c>
      <c r="N198" s="5" t="s">
        <v>33</v>
      </c>
    </row>
    <row r="199" spans="1:14" ht="15.75" customHeight="1" x14ac:dyDescent="0.2">
      <c r="A199" s="5" t="s">
        <v>35</v>
      </c>
      <c r="B199" s="5">
        <v>0</v>
      </c>
      <c r="C199" s="5">
        <v>0</v>
      </c>
      <c r="D199" s="5" t="s">
        <v>105</v>
      </c>
      <c r="E199" s="5" t="s">
        <v>104</v>
      </c>
      <c r="F199" s="5" t="s">
        <v>88</v>
      </c>
      <c r="G199" s="5" t="s">
        <v>91</v>
      </c>
      <c r="H199" s="5" t="s">
        <v>60</v>
      </c>
      <c r="I199" s="5" t="s">
        <v>45</v>
      </c>
      <c r="J199" s="5" t="s">
        <v>29</v>
      </c>
      <c r="K199" s="5" t="s">
        <v>30</v>
      </c>
      <c r="L199" s="5" t="s">
        <v>31</v>
      </c>
      <c r="M199" s="5" t="s">
        <v>32</v>
      </c>
      <c r="N199" s="5" t="s">
        <v>33</v>
      </c>
    </row>
    <row r="200" spans="1:14" ht="15.75" customHeight="1" x14ac:dyDescent="0.2">
      <c r="A200" s="5" t="s">
        <v>46</v>
      </c>
      <c r="B200" s="5">
        <v>0</v>
      </c>
      <c r="C200" s="5">
        <v>0</v>
      </c>
      <c r="D200" s="5" t="s">
        <v>105</v>
      </c>
      <c r="E200" s="5" t="s">
        <v>104</v>
      </c>
      <c r="F200" s="5" t="s">
        <v>88</v>
      </c>
      <c r="G200" s="5" t="s">
        <v>90</v>
      </c>
      <c r="H200" s="5" t="s">
        <v>60</v>
      </c>
      <c r="I200" s="5" t="s">
        <v>46</v>
      </c>
      <c r="J200" s="5" t="s">
        <v>29</v>
      </c>
      <c r="K200" s="5" t="s">
        <v>30</v>
      </c>
      <c r="L200" s="5" t="s">
        <v>31</v>
      </c>
      <c r="M200" s="5" t="s">
        <v>32</v>
      </c>
      <c r="N200" s="5" t="s">
        <v>33</v>
      </c>
    </row>
    <row r="201" spans="1:14" ht="15.75" customHeight="1" x14ac:dyDescent="0.2">
      <c r="A201" s="5" t="s">
        <v>35</v>
      </c>
      <c r="B201" s="5">
        <v>0</v>
      </c>
      <c r="C201" s="5">
        <v>0</v>
      </c>
      <c r="D201" s="5" t="s">
        <v>105</v>
      </c>
      <c r="E201" s="5" t="s">
        <v>104</v>
      </c>
      <c r="F201" s="5" t="s">
        <v>88</v>
      </c>
      <c r="G201" s="5" t="s">
        <v>91</v>
      </c>
      <c r="H201" s="5" t="s">
        <v>60</v>
      </c>
      <c r="I201" s="5" t="s">
        <v>46</v>
      </c>
      <c r="J201" s="5" t="s">
        <v>29</v>
      </c>
      <c r="K201" s="5" t="s">
        <v>30</v>
      </c>
      <c r="L201" s="5" t="s">
        <v>31</v>
      </c>
      <c r="M201" s="5" t="s">
        <v>32</v>
      </c>
      <c r="N201" s="5" t="s">
        <v>33</v>
      </c>
    </row>
    <row r="202" spans="1:14" ht="15.75" customHeight="1" x14ac:dyDescent="0.2">
      <c r="A202" s="5" t="s">
        <v>87</v>
      </c>
      <c r="B202" s="5">
        <v>1</v>
      </c>
      <c r="C202" s="5">
        <v>54</v>
      </c>
      <c r="D202" s="5" t="s">
        <v>97</v>
      </c>
      <c r="E202" s="5" t="s">
        <v>93</v>
      </c>
      <c r="F202" s="5" t="s">
        <v>92</v>
      </c>
      <c r="G202" s="5" t="s">
        <v>89</v>
      </c>
      <c r="H202" s="5" t="s">
        <v>60</v>
      </c>
      <c r="I202" s="5" t="s">
        <v>87</v>
      </c>
      <c r="J202" s="5" t="s">
        <v>29</v>
      </c>
      <c r="K202" s="5" t="s">
        <v>30</v>
      </c>
      <c r="L202" s="5" t="s">
        <v>31</v>
      </c>
      <c r="M202" s="5" t="s">
        <v>32</v>
      </c>
      <c r="N202" s="5" t="s">
        <v>33</v>
      </c>
    </row>
    <row r="203" spans="1:14" ht="15.75" customHeight="1" x14ac:dyDescent="0.2">
      <c r="A203" s="5" t="s">
        <v>34</v>
      </c>
      <c r="B203" s="5">
        <v>0</v>
      </c>
      <c r="C203" s="5">
        <v>0</v>
      </c>
      <c r="D203" s="5" t="s">
        <v>97</v>
      </c>
      <c r="E203" s="5" t="s">
        <v>93</v>
      </c>
      <c r="F203" s="5" t="s">
        <v>92</v>
      </c>
      <c r="G203" s="5" t="s">
        <v>90</v>
      </c>
      <c r="H203" s="5" t="s">
        <v>60</v>
      </c>
      <c r="I203" s="5" t="s">
        <v>34</v>
      </c>
      <c r="J203" s="5" t="s">
        <v>29</v>
      </c>
      <c r="K203" s="5" t="s">
        <v>30</v>
      </c>
      <c r="L203" s="5" t="s">
        <v>31</v>
      </c>
      <c r="M203" s="5" t="s">
        <v>32</v>
      </c>
      <c r="N203" s="5" t="s">
        <v>33</v>
      </c>
    </row>
    <row r="204" spans="1:14" ht="15.75" customHeight="1" x14ac:dyDescent="0.2">
      <c r="A204" s="5" t="s">
        <v>35</v>
      </c>
      <c r="B204" s="5">
        <v>0</v>
      </c>
      <c r="C204" s="5">
        <v>0</v>
      </c>
      <c r="D204" s="5" t="s">
        <v>97</v>
      </c>
      <c r="E204" s="5" t="s">
        <v>93</v>
      </c>
      <c r="F204" s="5" t="s">
        <v>92</v>
      </c>
      <c r="G204" s="5" t="s">
        <v>91</v>
      </c>
      <c r="H204" s="5" t="s">
        <v>60</v>
      </c>
      <c r="I204" s="5" t="s">
        <v>34</v>
      </c>
      <c r="J204" s="5" t="s">
        <v>29</v>
      </c>
      <c r="K204" s="5" t="s">
        <v>30</v>
      </c>
      <c r="L204" s="5" t="s">
        <v>31</v>
      </c>
      <c r="M204" s="5" t="s">
        <v>32</v>
      </c>
      <c r="N204" s="5" t="s">
        <v>33</v>
      </c>
    </row>
    <row r="205" spans="1:14" ht="15.75" customHeight="1" x14ac:dyDescent="0.2">
      <c r="A205" s="5" t="s">
        <v>36</v>
      </c>
      <c r="B205" s="5">
        <v>0</v>
      </c>
      <c r="C205" s="5">
        <v>0</v>
      </c>
      <c r="D205" s="5" t="s">
        <v>97</v>
      </c>
      <c r="E205" s="5" t="s">
        <v>93</v>
      </c>
      <c r="F205" s="5" t="s">
        <v>92</v>
      </c>
      <c r="G205" s="5" t="s">
        <v>90</v>
      </c>
      <c r="H205" s="5" t="s">
        <v>60</v>
      </c>
      <c r="I205" s="5" t="s">
        <v>36</v>
      </c>
      <c r="J205" s="5" t="s">
        <v>29</v>
      </c>
      <c r="K205" s="5" t="s">
        <v>30</v>
      </c>
      <c r="L205" s="5" t="s">
        <v>31</v>
      </c>
      <c r="M205" s="5" t="s">
        <v>32</v>
      </c>
      <c r="N205" s="5" t="s">
        <v>33</v>
      </c>
    </row>
    <row r="206" spans="1:14" ht="15.75" customHeight="1" x14ac:dyDescent="0.2">
      <c r="A206" s="5" t="s">
        <v>35</v>
      </c>
      <c r="B206" s="5">
        <v>0</v>
      </c>
      <c r="C206" s="5">
        <v>0</v>
      </c>
      <c r="D206" s="5" t="s">
        <v>97</v>
      </c>
      <c r="E206" s="5" t="s">
        <v>93</v>
      </c>
      <c r="F206" s="5" t="s">
        <v>92</v>
      </c>
      <c r="G206" s="5" t="s">
        <v>91</v>
      </c>
      <c r="H206" s="5" t="s">
        <v>60</v>
      </c>
      <c r="I206" s="5" t="s">
        <v>36</v>
      </c>
      <c r="J206" s="5" t="s">
        <v>29</v>
      </c>
      <c r="K206" s="5" t="s">
        <v>30</v>
      </c>
      <c r="L206" s="5" t="s">
        <v>31</v>
      </c>
      <c r="M206" s="5" t="s">
        <v>32</v>
      </c>
      <c r="N206" s="5" t="s">
        <v>33</v>
      </c>
    </row>
    <row r="207" spans="1:14" ht="15.75" customHeight="1" x14ac:dyDescent="0.2">
      <c r="A207" s="5" t="s">
        <v>37</v>
      </c>
      <c r="B207" s="5">
        <v>1</v>
      </c>
      <c r="C207" s="5">
        <v>54</v>
      </c>
      <c r="D207" s="5" t="s">
        <v>97</v>
      </c>
      <c r="E207" s="5" t="s">
        <v>93</v>
      </c>
      <c r="F207" s="5" t="s">
        <v>92</v>
      </c>
      <c r="G207" s="5" t="s">
        <v>90</v>
      </c>
      <c r="H207" s="5" t="s">
        <v>60</v>
      </c>
      <c r="I207" s="5" t="s">
        <v>37</v>
      </c>
      <c r="J207" s="5" t="s">
        <v>29</v>
      </c>
      <c r="K207" s="5" t="s">
        <v>30</v>
      </c>
      <c r="L207" s="5" t="s">
        <v>31</v>
      </c>
      <c r="M207" s="5" t="s">
        <v>32</v>
      </c>
      <c r="N207" s="5" t="s">
        <v>33</v>
      </c>
    </row>
    <row r="208" spans="1:14" ht="15.75" customHeight="1" x14ac:dyDescent="0.2">
      <c r="A208" s="5" t="s">
        <v>35</v>
      </c>
      <c r="B208" s="5">
        <v>1</v>
      </c>
      <c r="C208" s="5">
        <v>54</v>
      </c>
      <c r="D208" s="5" t="s">
        <v>97</v>
      </c>
      <c r="E208" s="5" t="s">
        <v>93</v>
      </c>
      <c r="F208" s="5" t="s">
        <v>92</v>
      </c>
      <c r="G208" s="5" t="s">
        <v>91</v>
      </c>
      <c r="H208" s="5" t="s">
        <v>60</v>
      </c>
      <c r="I208" s="5" t="s">
        <v>37</v>
      </c>
      <c r="J208" s="5" t="s">
        <v>29</v>
      </c>
      <c r="K208" s="5" t="s">
        <v>30</v>
      </c>
      <c r="L208" s="5" t="s">
        <v>31</v>
      </c>
      <c r="M208" s="5" t="s">
        <v>32</v>
      </c>
      <c r="N208" s="5" t="s">
        <v>33</v>
      </c>
    </row>
    <row r="209" spans="1:14" ht="15.75" customHeight="1" x14ac:dyDescent="0.2">
      <c r="A209" s="5" t="s">
        <v>38</v>
      </c>
      <c r="B209" s="5">
        <v>0</v>
      </c>
      <c r="C209" s="5">
        <v>0</v>
      </c>
      <c r="D209" s="5" t="s">
        <v>97</v>
      </c>
      <c r="E209" s="5" t="s">
        <v>93</v>
      </c>
      <c r="F209" s="5" t="s">
        <v>92</v>
      </c>
      <c r="G209" s="5" t="s">
        <v>90</v>
      </c>
      <c r="H209" s="5" t="s">
        <v>60</v>
      </c>
      <c r="I209" s="5" t="s">
        <v>38</v>
      </c>
      <c r="J209" s="5" t="s">
        <v>29</v>
      </c>
      <c r="K209" s="5" t="s">
        <v>30</v>
      </c>
      <c r="L209" s="5" t="s">
        <v>31</v>
      </c>
      <c r="M209" s="5" t="s">
        <v>32</v>
      </c>
      <c r="N209" s="5" t="s">
        <v>33</v>
      </c>
    </row>
    <row r="210" spans="1:14" ht="15.75" customHeight="1" x14ac:dyDescent="0.2">
      <c r="A210" s="5" t="s">
        <v>35</v>
      </c>
      <c r="B210" s="5">
        <v>0</v>
      </c>
      <c r="C210" s="5">
        <v>0</v>
      </c>
      <c r="D210" s="5" t="s">
        <v>97</v>
      </c>
      <c r="E210" s="5" t="s">
        <v>93</v>
      </c>
      <c r="F210" s="5" t="s">
        <v>92</v>
      </c>
      <c r="G210" s="5" t="s">
        <v>91</v>
      </c>
      <c r="H210" s="5" t="s">
        <v>60</v>
      </c>
      <c r="I210" s="5" t="s">
        <v>38</v>
      </c>
      <c r="J210" s="5" t="s">
        <v>29</v>
      </c>
      <c r="K210" s="5" t="s">
        <v>30</v>
      </c>
      <c r="L210" s="5" t="s">
        <v>31</v>
      </c>
      <c r="M210" s="5" t="s">
        <v>32</v>
      </c>
      <c r="N210" s="5" t="s">
        <v>33</v>
      </c>
    </row>
    <row r="211" spans="1:14" ht="15.75" customHeight="1" x14ac:dyDescent="0.2">
      <c r="A211" s="5" t="s">
        <v>39</v>
      </c>
      <c r="B211" s="5">
        <v>0</v>
      </c>
      <c r="C211" s="5">
        <v>0</v>
      </c>
      <c r="D211" s="5" t="s">
        <v>97</v>
      </c>
      <c r="E211" s="5" t="s">
        <v>93</v>
      </c>
      <c r="F211" s="5" t="s">
        <v>92</v>
      </c>
      <c r="G211" s="5" t="s">
        <v>90</v>
      </c>
      <c r="H211" s="5" t="s">
        <v>60</v>
      </c>
      <c r="I211" s="5" t="s">
        <v>39</v>
      </c>
      <c r="J211" s="5" t="s">
        <v>29</v>
      </c>
      <c r="K211" s="5" t="s">
        <v>30</v>
      </c>
      <c r="L211" s="5" t="s">
        <v>31</v>
      </c>
      <c r="M211" s="5" t="s">
        <v>32</v>
      </c>
      <c r="N211" s="5" t="s">
        <v>33</v>
      </c>
    </row>
    <row r="212" spans="1:14" ht="15.75" customHeight="1" x14ac:dyDescent="0.2">
      <c r="A212" s="5" t="s">
        <v>35</v>
      </c>
      <c r="B212" s="5">
        <v>0</v>
      </c>
      <c r="C212" s="5">
        <v>0</v>
      </c>
      <c r="D212" s="5" t="s">
        <v>97</v>
      </c>
      <c r="E212" s="5" t="s">
        <v>93</v>
      </c>
      <c r="F212" s="5" t="s">
        <v>92</v>
      </c>
      <c r="G212" s="5" t="s">
        <v>91</v>
      </c>
      <c r="H212" s="5" t="s">
        <v>60</v>
      </c>
      <c r="I212" s="5" t="s">
        <v>39</v>
      </c>
      <c r="J212" s="5" t="s">
        <v>29</v>
      </c>
      <c r="K212" s="5" t="s">
        <v>30</v>
      </c>
      <c r="L212" s="5" t="s">
        <v>31</v>
      </c>
      <c r="M212" s="5" t="s">
        <v>32</v>
      </c>
      <c r="N212" s="5" t="s">
        <v>33</v>
      </c>
    </row>
    <row r="213" spans="1:14" ht="15.75" customHeight="1" x14ac:dyDescent="0.2">
      <c r="A213" s="5" t="s">
        <v>40</v>
      </c>
      <c r="B213" s="5">
        <v>0</v>
      </c>
      <c r="C213" s="5">
        <v>0</v>
      </c>
      <c r="D213" s="5" t="s">
        <v>97</v>
      </c>
      <c r="E213" s="5" t="s">
        <v>93</v>
      </c>
      <c r="F213" s="5" t="s">
        <v>92</v>
      </c>
      <c r="G213" s="5" t="s">
        <v>90</v>
      </c>
      <c r="H213" s="5" t="s">
        <v>60</v>
      </c>
      <c r="I213" s="5" t="s">
        <v>40</v>
      </c>
      <c r="J213" s="5" t="s">
        <v>29</v>
      </c>
      <c r="K213" s="5" t="s">
        <v>30</v>
      </c>
      <c r="L213" s="5" t="s">
        <v>31</v>
      </c>
      <c r="M213" s="5" t="s">
        <v>32</v>
      </c>
      <c r="N213" s="5" t="s">
        <v>33</v>
      </c>
    </row>
    <row r="214" spans="1:14" ht="15.75" customHeight="1" x14ac:dyDescent="0.2">
      <c r="A214" s="5" t="s">
        <v>35</v>
      </c>
      <c r="B214" s="5">
        <v>0</v>
      </c>
      <c r="C214" s="5">
        <v>0</v>
      </c>
      <c r="D214" s="5" t="s">
        <v>97</v>
      </c>
      <c r="E214" s="5" t="s">
        <v>93</v>
      </c>
      <c r="F214" s="5" t="s">
        <v>92</v>
      </c>
      <c r="G214" s="5" t="s">
        <v>91</v>
      </c>
      <c r="H214" s="5" t="s">
        <v>60</v>
      </c>
      <c r="I214" s="5" t="s">
        <v>40</v>
      </c>
      <c r="J214" s="5" t="s">
        <v>29</v>
      </c>
      <c r="K214" s="5" t="s">
        <v>30</v>
      </c>
      <c r="L214" s="5" t="s">
        <v>31</v>
      </c>
      <c r="M214" s="5" t="s">
        <v>32</v>
      </c>
      <c r="N214" s="5" t="s">
        <v>33</v>
      </c>
    </row>
    <row r="215" spans="1:14" ht="15.75" customHeight="1" x14ac:dyDescent="0.2">
      <c r="A215" s="5" t="s">
        <v>41</v>
      </c>
      <c r="B215" s="5">
        <v>0</v>
      </c>
      <c r="C215" s="5">
        <v>0</v>
      </c>
      <c r="D215" s="5" t="s">
        <v>97</v>
      </c>
      <c r="E215" s="5" t="s">
        <v>93</v>
      </c>
      <c r="F215" s="5" t="s">
        <v>92</v>
      </c>
      <c r="G215" s="5" t="s">
        <v>90</v>
      </c>
      <c r="H215" s="5" t="s">
        <v>60</v>
      </c>
      <c r="I215" s="5" t="s">
        <v>41</v>
      </c>
      <c r="J215" s="5" t="s">
        <v>29</v>
      </c>
      <c r="K215" s="5" t="s">
        <v>30</v>
      </c>
      <c r="L215" s="5" t="s">
        <v>31</v>
      </c>
      <c r="M215" s="5" t="s">
        <v>32</v>
      </c>
      <c r="N215" s="5" t="s">
        <v>33</v>
      </c>
    </row>
    <row r="216" spans="1:14" ht="15.75" customHeight="1" x14ac:dyDescent="0.2">
      <c r="A216" s="5" t="s">
        <v>35</v>
      </c>
      <c r="B216" s="5">
        <v>0</v>
      </c>
      <c r="C216" s="5">
        <v>0</v>
      </c>
      <c r="D216" s="5" t="s">
        <v>97</v>
      </c>
      <c r="E216" s="5" t="s">
        <v>93</v>
      </c>
      <c r="F216" s="5" t="s">
        <v>92</v>
      </c>
      <c r="G216" s="5" t="s">
        <v>91</v>
      </c>
      <c r="H216" s="5" t="s">
        <v>60</v>
      </c>
      <c r="I216" s="5" t="s">
        <v>41</v>
      </c>
      <c r="J216" s="5" t="s">
        <v>29</v>
      </c>
      <c r="K216" s="5" t="s">
        <v>30</v>
      </c>
      <c r="L216" s="5" t="s">
        <v>31</v>
      </c>
      <c r="M216" s="5" t="s">
        <v>32</v>
      </c>
      <c r="N216" s="5" t="s">
        <v>33</v>
      </c>
    </row>
    <row r="217" spans="1:14" ht="15.75" customHeight="1" x14ac:dyDescent="0.2">
      <c r="A217" s="5" t="s">
        <v>42</v>
      </c>
      <c r="B217" s="5">
        <v>0</v>
      </c>
      <c r="C217" s="5">
        <v>0</v>
      </c>
      <c r="D217" s="5" t="s">
        <v>97</v>
      </c>
      <c r="E217" s="5" t="s">
        <v>93</v>
      </c>
      <c r="F217" s="5" t="s">
        <v>92</v>
      </c>
      <c r="G217" s="5" t="s">
        <v>90</v>
      </c>
      <c r="H217" s="5" t="s">
        <v>60</v>
      </c>
      <c r="I217" s="5" t="s">
        <v>42</v>
      </c>
      <c r="J217" s="5" t="s">
        <v>29</v>
      </c>
      <c r="K217" s="5" t="s">
        <v>30</v>
      </c>
      <c r="L217" s="5" t="s">
        <v>31</v>
      </c>
      <c r="M217" s="5" t="s">
        <v>32</v>
      </c>
      <c r="N217" s="5" t="s">
        <v>33</v>
      </c>
    </row>
    <row r="218" spans="1:14" ht="15.75" customHeight="1" x14ac:dyDescent="0.2">
      <c r="A218" s="5" t="s">
        <v>35</v>
      </c>
      <c r="B218" s="5">
        <v>0</v>
      </c>
      <c r="C218" s="5">
        <v>0</v>
      </c>
      <c r="D218" s="5" t="s">
        <v>97</v>
      </c>
      <c r="E218" s="5" t="s">
        <v>93</v>
      </c>
      <c r="F218" s="5" t="s">
        <v>92</v>
      </c>
      <c r="G218" s="5" t="s">
        <v>91</v>
      </c>
      <c r="H218" s="5" t="s">
        <v>60</v>
      </c>
      <c r="I218" s="5" t="s">
        <v>42</v>
      </c>
      <c r="J218" s="5" t="s">
        <v>29</v>
      </c>
      <c r="K218" s="5" t="s">
        <v>30</v>
      </c>
      <c r="L218" s="5" t="s">
        <v>31</v>
      </c>
      <c r="M218" s="5" t="s">
        <v>32</v>
      </c>
      <c r="N218" s="5" t="s">
        <v>33</v>
      </c>
    </row>
    <row r="219" spans="1:14" ht="15.75" customHeight="1" x14ac:dyDescent="0.2">
      <c r="A219" s="5" t="s">
        <v>43</v>
      </c>
      <c r="B219" s="5">
        <v>0</v>
      </c>
      <c r="C219" s="5">
        <v>0</v>
      </c>
      <c r="D219" s="5" t="s">
        <v>97</v>
      </c>
      <c r="E219" s="5" t="s">
        <v>93</v>
      </c>
      <c r="F219" s="5" t="s">
        <v>92</v>
      </c>
      <c r="G219" s="5" t="s">
        <v>90</v>
      </c>
      <c r="H219" s="5" t="s">
        <v>60</v>
      </c>
      <c r="I219" s="5" t="s">
        <v>43</v>
      </c>
      <c r="J219" s="5" t="s">
        <v>29</v>
      </c>
      <c r="K219" s="5" t="s">
        <v>30</v>
      </c>
      <c r="L219" s="5" t="s">
        <v>31</v>
      </c>
      <c r="M219" s="5" t="s">
        <v>32</v>
      </c>
      <c r="N219" s="5" t="s">
        <v>33</v>
      </c>
    </row>
    <row r="220" spans="1:14" ht="15.75" customHeight="1" x14ac:dyDescent="0.2">
      <c r="A220" s="5" t="s">
        <v>35</v>
      </c>
      <c r="B220" s="5">
        <v>0</v>
      </c>
      <c r="C220" s="5">
        <v>0</v>
      </c>
      <c r="D220" s="5" t="s">
        <v>97</v>
      </c>
      <c r="E220" s="5" t="s">
        <v>93</v>
      </c>
      <c r="F220" s="5" t="s">
        <v>92</v>
      </c>
      <c r="G220" s="5" t="s">
        <v>91</v>
      </c>
      <c r="H220" s="5" t="s">
        <v>60</v>
      </c>
      <c r="I220" s="5" t="s">
        <v>43</v>
      </c>
      <c r="J220" s="5" t="s">
        <v>29</v>
      </c>
      <c r="K220" s="5" t="s">
        <v>30</v>
      </c>
      <c r="L220" s="5" t="s">
        <v>31</v>
      </c>
      <c r="M220" s="5" t="s">
        <v>32</v>
      </c>
      <c r="N220" s="5" t="s">
        <v>33</v>
      </c>
    </row>
    <row r="221" spans="1:14" ht="15.75" customHeight="1" x14ac:dyDescent="0.2">
      <c r="A221" s="5" t="s">
        <v>44</v>
      </c>
      <c r="B221" s="5">
        <v>0</v>
      </c>
      <c r="C221" s="5">
        <v>0</v>
      </c>
      <c r="D221" s="5" t="s">
        <v>97</v>
      </c>
      <c r="E221" s="5" t="s">
        <v>93</v>
      </c>
      <c r="F221" s="5" t="s">
        <v>92</v>
      </c>
      <c r="G221" s="5" t="s">
        <v>90</v>
      </c>
      <c r="H221" s="5" t="s">
        <v>60</v>
      </c>
      <c r="I221" s="5" t="s">
        <v>44</v>
      </c>
      <c r="J221" s="5" t="s">
        <v>29</v>
      </c>
      <c r="K221" s="5" t="s">
        <v>30</v>
      </c>
      <c r="L221" s="5" t="s">
        <v>31</v>
      </c>
      <c r="M221" s="5" t="s">
        <v>32</v>
      </c>
      <c r="N221" s="5" t="s">
        <v>33</v>
      </c>
    </row>
    <row r="222" spans="1:14" ht="15.75" customHeight="1" x14ac:dyDescent="0.2">
      <c r="A222" s="5" t="s">
        <v>35</v>
      </c>
      <c r="B222" s="5">
        <v>0</v>
      </c>
      <c r="C222" s="5">
        <v>0</v>
      </c>
      <c r="D222" s="5" t="s">
        <v>97</v>
      </c>
      <c r="E222" s="5" t="s">
        <v>93</v>
      </c>
      <c r="F222" s="5" t="s">
        <v>92</v>
      </c>
      <c r="G222" s="5" t="s">
        <v>91</v>
      </c>
      <c r="H222" s="5" t="s">
        <v>60</v>
      </c>
      <c r="I222" s="5" t="s">
        <v>44</v>
      </c>
      <c r="J222" s="5" t="s">
        <v>29</v>
      </c>
      <c r="K222" s="5" t="s">
        <v>30</v>
      </c>
      <c r="L222" s="5" t="s">
        <v>31</v>
      </c>
      <c r="M222" s="5" t="s">
        <v>32</v>
      </c>
      <c r="N222" s="5" t="s">
        <v>33</v>
      </c>
    </row>
    <row r="223" spans="1:14" ht="15.75" customHeight="1" x14ac:dyDescent="0.2">
      <c r="A223" s="5" t="s">
        <v>45</v>
      </c>
      <c r="B223" s="5">
        <v>0</v>
      </c>
      <c r="C223" s="5">
        <v>0</v>
      </c>
      <c r="D223" s="5" t="s">
        <v>97</v>
      </c>
      <c r="E223" s="5" t="s">
        <v>93</v>
      </c>
      <c r="F223" s="5" t="s">
        <v>92</v>
      </c>
      <c r="G223" s="5" t="s">
        <v>90</v>
      </c>
      <c r="H223" s="5" t="s">
        <v>60</v>
      </c>
      <c r="I223" s="5" t="s">
        <v>45</v>
      </c>
      <c r="J223" s="5" t="s">
        <v>29</v>
      </c>
      <c r="K223" s="5" t="s">
        <v>30</v>
      </c>
      <c r="L223" s="5" t="s">
        <v>31</v>
      </c>
      <c r="M223" s="5" t="s">
        <v>32</v>
      </c>
      <c r="N223" s="5" t="s">
        <v>33</v>
      </c>
    </row>
    <row r="224" spans="1:14" ht="15.75" customHeight="1" x14ac:dyDescent="0.2">
      <c r="A224" s="5" t="s">
        <v>35</v>
      </c>
      <c r="B224" s="5">
        <v>0</v>
      </c>
      <c r="C224" s="5">
        <v>0</v>
      </c>
      <c r="D224" s="5" t="s">
        <v>97</v>
      </c>
      <c r="E224" s="5" t="s">
        <v>93</v>
      </c>
      <c r="F224" s="5" t="s">
        <v>92</v>
      </c>
      <c r="G224" s="5" t="s">
        <v>91</v>
      </c>
      <c r="H224" s="5" t="s">
        <v>60</v>
      </c>
      <c r="I224" s="5" t="s">
        <v>45</v>
      </c>
      <c r="J224" s="5" t="s">
        <v>29</v>
      </c>
      <c r="K224" s="5" t="s">
        <v>30</v>
      </c>
      <c r="L224" s="5" t="s">
        <v>31</v>
      </c>
      <c r="M224" s="5" t="s">
        <v>32</v>
      </c>
      <c r="N224" s="5" t="s">
        <v>33</v>
      </c>
    </row>
    <row r="225" spans="1:14" ht="15.75" customHeight="1" x14ac:dyDescent="0.2">
      <c r="A225" s="5" t="s">
        <v>46</v>
      </c>
      <c r="B225" s="5">
        <v>0</v>
      </c>
      <c r="C225" s="5">
        <v>0</v>
      </c>
      <c r="D225" s="5" t="s">
        <v>97</v>
      </c>
      <c r="E225" s="5" t="s">
        <v>93</v>
      </c>
      <c r="F225" s="5" t="s">
        <v>92</v>
      </c>
      <c r="G225" s="5" t="s">
        <v>90</v>
      </c>
      <c r="H225" s="5" t="s">
        <v>60</v>
      </c>
      <c r="I225" s="5" t="s">
        <v>46</v>
      </c>
      <c r="J225" s="5" t="s">
        <v>29</v>
      </c>
      <c r="K225" s="5" t="s">
        <v>30</v>
      </c>
      <c r="L225" s="5" t="s">
        <v>31</v>
      </c>
      <c r="M225" s="5" t="s">
        <v>32</v>
      </c>
      <c r="N225" s="5" t="s">
        <v>33</v>
      </c>
    </row>
    <row r="226" spans="1:14" ht="15.75" customHeight="1" x14ac:dyDescent="0.2">
      <c r="A226" s="5" t="s">
        <v>35</v>
      </c>
      <c r="B226" s="5">
        <v>0</v>
      </c>
      <c r="C226" s="5">
        <v>0</v>
      </c>
      <c r="D226" s="5" t="s">
        <v>97</v>
      </c>
      <c r="E226" s="5" t="s">
        <v>93</v>
      </c>
      <c r="F226" s="5" t="s">
        <v>92</v>
      </c>
      <c r="G226" s="5" t="s">
        <v>91</v>
      </c>
      <c r="H226" s="5" t="s">
        <v>60</v>
      </c>
      <c r="I226" s="5" t="s">
        <v>46</v>
      </c>
      <c r="J226" s="5" t="s">
        <v>29</v>
      </c>
      <c r="K226" s="5" t="s">
        <v>30</v>
      </c>
      <c r="L226" s="5" t="s">
        <v>31</v>
      </c>
      <c r="M226" s="5" t="s">
        <v>32</v>
      </c>
      <c r="N226" s="5" t="s">
        <v>33</v>
      </c>
    </row>
    <row r="227" spans="1:14" ht="15.75" customHeight="1" x14ac:dyDescent="0.2">
      <c r="A227" s="5" t="s">
        <v>87</v>
      </c>
      <c r="B227" s="5">
        <v>3</v>
      </c>
      <c r="C227" s="5">
        <v>217.25</v>
      </c>
      <c r="D227" s="5" t="s">
        <v>98</v>
      </c>
      <c r="E227" s="5" t="s">
        <v>93</v>
      </c>
      <c r="F227" s="5" t="s">
        <v>92</v>
      </c>
      <c r="G227" s="5" t="s">
        <v>89</v>
      </c>
      <c r="H227" s="5" t="s">
        <v>61</v>
      </c>
      <c r="I227" s="5" t="s">
        <v>87</v>
      </c>
      <c r="J227" s="5" t="s">
        <v>29</v>
      </c>
      <c r="K227" s="5" t="s">
        <v>30</v>
      </c>
      <c r="L227" s="5" t="s">
        <v>31</v>
      </c>
      <c r="M227" s="5" t="s">
        <v>32</v>
      </c>
      <c r="N227" s="5" t="s">
        <v>33</v>
      </c>
    </row>
    <row r="228" spans="1:14" ht="15.75" customHeight="1" x14ac:dyDescent="0.2">
      <c r="A228" s="5" t="s">
        <v>34</v>
      </c>
      <c r="B228" s="5">
        <v>0</v>
      </c>
      <c r="C228" s="5">
        <v>0</v>
      </c>
      <c r="D228" s="5" t="s">
        <v>98</v>
      </c>
      <c r="E228" s="5" t="s">
        <v>93</v>
      </c>
      <c r="F228" s="5" t="s">
        <v>92</v>
      </c>
      <c r="G228" s="5" t="s">
        <v>90</v>
      </c>
      <c r="H228" s="5" t="s">
        <v>61</v>
      </c>
      <c r="I228" s="5" t="s">
        <v>34</v>
      </c>
      <c r="J228" s="5" t="s">
        <v>29</v>
      </c>
      <c r="K228" s="5" t="s">
        <v>30</v>
      </c>
      <c r="L228" s="5" t="s">
        <v>31</v>
      </c>
      <c r="M228" s="5" t="s">
        <v>32</v>
      </c>
      <c r="N228" s="5" t="s">
        <v>33</v>
      </c>
    </row>
    <row r="229" spans="1:14" ht="15.75" customHeight="1" x14ac:dyDescent="0.2">
      <c r="A229" s="5" t="s">
        <v>35</v>
      </c>
      <c r="B229" s="5">
        <v>0</v>
      </c>
      <c r="C229" s="5">
        <v>0</v>
      </c>
      <c r="D229" s="5" t="s">
        <v>98</v>
      </c>
      <c r="E229" s="5" t="s">
        <v>93</v>
      </c>
      <c r="F229" s="5" t="s">
        <v>92</v>
      </c>
      <c r="G229" s="5" t="s">
        <v>91</v>
      </c>
      <c r="H229" s="5" t="s">
        <v>61</v>
      </c>
      <c r="I229" s="5" t="s">
        <v>34</v>
      </c>
      <c r="J229" s="5" t="s">
        <v>29</v>
      </c>
      <c r="K229" s="5" t="s">
        <v>30</v>
      </c>
      <c r="L229" s="5" t="s">
        <v>31</v>
      </c>
      <c r="M229" s="5" t="s">
        <v>32</v>
      </c>
      <c r="N229" s="5" t="s">
        <v>33</v>
      </c>
    </row>
    <row r="230" spans="1:14" ht="15.75" customHeight="1" x14ac:dyDescent="0.2">
      <c r="A230" s="5" t="s">
        <v>36</v>
      </c>
      <c r="B230" s="5">
        <v>2</v>
      </c>
      <c r="C230" s="5">
        <v>146.5</v>
      </c>
      <c r="D230" s="5" t="s">
        <v>98</v>
      </c>
      <c r="E230" s="5" t="s">
        <v>93</v>
      </c>
      <c r="F230" s="5" t="s">
        <v>92</v>
      </c>
      <c r="G230" s="5" t="s">
        <v>90</v>
      </c>
      <c r="H230" s="5" t="s">
        <v>61</v>
      </c>
      <c r="I230" s="5" t="s">
        <v>36</v>
      </c>
      <c r="J230" s="5" t="s">
        <v>29</v>
      </c>
      <c r="K230" s="5" t="s">
        <v>30</v>
      </c>
      <c r="L230" s="5" t="s">
        <v>31</v>
      </c>
      <c r="M230" s="5" t="s">
        <v>32</v>
      </c>
      <c r="N230" s="5" t="s">
        <v>33</v>
      </c>
    </row>
    <row r="231" spans="1:14" ht="15.75" customHeight="1" x14ac:dyDescent="0.2">
      <c r="A231" s="5" t="s">
        <v>35</v>
      </c>
      <c r="B231" s="5">
        <v>2</v>
      </c>
      <c r="C231" s="5">
        <v>146.5</v>
      </c>
      <c r="D231" s="5" t="s">
        <v>98</v>
      </c>
      <c r="E231" s="5" t="s">
        <v>93</v>
      </c>
      <c r="F231" s="5" t="s">
        <v>92</v>
      </c>
      <c r="G231" s="5" t="s">
        <v>91</v>
      </c>
      <c r="H231" s="5" t="s">
        <v>61</v>
      </c>
      <c r="I231" s="5" t="s">
        <v>36</v>
      </c>
      <c r="J231" s="5" t="s">
        <v>29</v>
      </c>
      <c r="K231" s="5" t="s">
        <v>30</v>
      </c>
      <c r="L231" s="5" t="s">
        <v>31</v>
      </c>
      <c r="M231" s="5" t="s">
        <v>32</v>
      </c>
      <c r="N231" s="5" t="s">
        <v>33</v>
      </c>
    </row>
    <row r="232" spans="1:14" ht="15.75" customHeight="1" x14ac:dyDescent="0.2">
      <c r="A232" s="5" t="s">
        <v>37</v>
      </c>
      <c r="B232" s="5">
        <v>1</v>
      </c>
      <c r="C232" s="5">
        <v>70.75</v>
      </c>
      <c r="D232" s="5" t="s">
        <v>98</v>
      </c>
      <c r="E232" s="5" t="s">
        <v>93</v>
      </c>
      <c r="F232" s="5" t="s">
        <v>92</v>
      </c>
      <c r="G232" s="5" t="s">
        <v>90</v>
      </c>
      <c r="H232" s="5" t="s">
        <v>61</v>
      </c>
      <c r="I232" s="5" t="s">
        <v>37</v>
      </c>
      <c r="J232" s="5" t="s">
        <v>29</v>
      </c>
      <c r="K232" s="5" t="s">
        <v>30</v>
      </c>
      <c r="L232" s="5" t="s">
        <v>31</v>
      </c>
      <c r="M232" s="5" t="s">
        <v>32</v>
      </c>
      <c r="N232" s="5" t="s">
        <v>33</v>
      </c>
    </row>
    <row r="233" spans="1:14" ht="15.75" customHeight="1" x14ac:dyDescent="0.2">
      <c r="A233" s="5" t="s">
        <v>35</v>
      </c>
      <c r="B233" s="5">
        <v>1</v>
      </c>
      <c r="C233" s="5">
        <v>70.75</v>
      </c>
      <c r="D233" s="5" t="s">
        <v>98</v>
      </c>
      <c r="E233" s="5" t="s">
        <v>93</v>
      </c>
      <c r="F233" s="5" t="s">
        <v>92</v>
      </c>
      <c r="G233" s="5" t="s">
        <v>91</v>
      </c>
      <c r="H233" s="5" t="s">
        <v>61</v>
      </c>
      <c r="I233" s="5" t="s">
        <v>37</v>
      </c>
      <c r="J233" s="5" t="s">
        <v>29</v>
      </c>
      <c r="K233" s="5" t="s">
        <v>30</v>
      </c>
      <c r="L233" s="5" t="s">
        <v>31</v>
      </c>
      <c r="M233" s="5" t="s">
        <v>32</v>
      </c>
      <c r="N233" s="5" t="s">
        <v>33</v>
      </c>
    </row>
    <row r="234" spans="1:14" ht="15.75" customHeight="1" x14ac:dyDescent="0.2">
      <c r="A234" s="5" t="s">
        <v>38</v>
      </c>
      <c r="B234" s="5">
        <v>0</v>
      </c>
      <c r="C234" s="5">
        <v>0</v>
      </c>
      <c r="D234" s="5" t="s">
        <v>98</v>
      </c>
      <c r="E234" s="5" t="s">
        <v>93</v>
      </c>
      <c r="F234" s="5" t="s">
        <v>92</v>
      </c>
      <c r="G234" s="5" t="s">
        <v>90</v>
      </c>
      <c r="H234" s="5" t="s">
        <v>61</v>
      </c>
      <c r="I234" s="5" t="s">
        <v>38</v>
      </c>
      <c r="J234" s="5" t="s">
        <v>29</v>
      </c>
      <c r="K234" s="5" t="s">
        <v>30</v>
      </c>
      <c r="L234" s="5" t="s">
        <v>31</v>
      </c>
      <c r="M234" s="5" t="s">
        <v>32</v>
      </c>
      <c r="N234" s="5" t="s">
        <v>33</v>
      </c>
    </row>
    <row r="235" spans="1:14" ht="15.75" customHeight="1" x14ac:dyDescent="0.2">
      <c r="A235" s="5" t="s">
        <v>35</v>
      </c>
      <c r="B235" s="5">
        <v>0</v>
      </c>
      <c r="C235" s="5">
        <v>0</v>
      </c>
      <c r="D235" s="5" t="s">
        <v>98</v>
      </c>
      <c r="E235" s="5" t="s">
        <v>93</v>
      </c>
      <c r="F235" s="5" t="s">
        <v>92</v>
      </c>
      <c r="G235" s="5" t="s">
        <v>91</v>
      </c>
      <c r="H235" s="5" t="s">
        <v>61</v>
      </c>
      <c r="I235" s="5" t="s">
        <v>38</v>
      </c>
      <c r="J235" s="5" t="s">
        <v>29</v>
      </c>
      <c r="K235" s="5" t="s">
        <v>30</v>
      </c>
      <c r="L235" s="5" t="s">
        <v>31</v>
      </c>
      <c r="M235" s="5" t="s">
        <v>32</v>
      </c>
      <c r="N235" s="5" t="s">
        <v>33</v>
      </c>
    </row>
    <row r="236" spans="1:14" ht="15.75" customHeight="1" x14ac:dyDescent="0.2">
      <c r="A236" s="5" t="s">
        <v>39</v>
      </c>
      <c r="B236" s="5">
        <v>0</v>
      </c>
      <c r="C236" s="5">
        <v>0</v>
      </c>
      <c r="D236" s="5" t="s">
        <v>98</v>
      </c>
      <c r="E236" s="5" t="s">
        <v>93</v>
      </c>
      <c r="F236" s="5" t="s">
        <v>92</v>
      </c>
      <c r="G236" s="5" t="s">
        <v>90</v>
      </c>
      <c r="H236" s="5" t="s">
        <v>61</v>
      </c>
      <c r="I236" s="5" t="s">
        <v>39</v>
      </c>
      <c r="J236" s="5" t="s">
        <v>29</v>
      </c>
      <c r="K236" s="5" t="s">
        <v>30</v>
      </c>
      <c r="L236" s="5" t="s">
        <v>31</v>
      </c>
      <c r="M236" s="5" t="s">
        <v>32</v>
      </c>
      <c r="N236" s="5" t="s">
        <v>33</v>
      </c>
    </row>
    <row r="237" spans="1:14" ht="15.75" customHeight="1" x14ac:dyDescent="0.2">
      <c r="A237" s="5" t="s">
        <v>35</v>
      </c>
      <c r="B237" s="5">
        <v>0</v>
      </c>
      <c r="C237" s="5">
        <v>0</v>
      </c>
      <c r="D237" s="5" t="s">
        <v>98</v>
      </c>
      <c r="E237" s="5" t="s">
        <v>93</v>
      </c>
      <c r="F237" s="5" t="s">
        <v>92</v>
      </c>
      <c r="G237" s="5" t="s">
        <v>91</v>
      </c>
      <c r="H237" s="5" t="s">
        <v>61</v>
      </c>
      <c r="I237" s="5" t="s">
        <v>39</v>
      </c>
      <c r="J237" s="5" t="s">
        <v>29</v>
      </c>
      <c r="K237" s="5" t="s">
        <v>30</v>
      </c>
      <c r="L237" s="5" t="s">
        <v>31</v>
      </c>
      <c r="M237" s="5" t="s">
        <v>32</v>
      </c>
      <c r="N237" s="5" t="s">
        <v>33</v>
      </c>
    </row>
    <row r="238" spans="1:14" ht="15.75" customHeight="1" x14ac:dyDescent="0.2">
      <c r="A238" s="5" t="s">
        <v>40</v>
      </c>
      <c r="B238" s="5">
        <v>0</v>
      </c>
      <c r="C238" s="5">
        <v>0</v>
      </c>
      <c r="D238" s="5" t="s">
        <v>98</v>
      </c>
      <c r="E238" s="5" t="s">
        <v>93</v>
      </c>
      <c r="F238" s="5" t="s">
        <v>92</v>
      </c>
      <c r="G238" s="5" t="s">
        <v>90</v>
      </c>
      <c r="H238" s="5" t="s">
        <v>61</v>
      </c>
      <c r="I238" s="5" t="s">
        <v>40</v>
      </c>
      <c r="J238" s="5" t="s">
        <v>29</v>
      </c>
      <c r="K238" s="5" t="s">
        <v>30</v>
      </c>
      <c r="L238" s="5" t="s">
        <v>31</v>
      </c>
      <c r="M238" s="5" t="s">
        <v>32</v>
      </c>
      <c r="N238" s="5" t="s">
        <v>33</v>
      </c>
    </row>
    <row r="239" spans="1:14" ht="15.75" customHeight="1" x14ac:dyDescent="0.2">
      <c r="A239" s="5" t="s">
        <v>35</v>
      </c>
      <c r="B239" s="5">
        <v>0</v>
      </c>
      <c r="C239" s="5">
        <v>0</v>
      </c>
      <c r="D239" s="5" t="s">
        <v>98</v>
      </c>
      <c r="E239" s="5" t="s">
        <v>93</v>
      </c>
      <c r="F239" s="5" t="s">
        <v>92</v>
      </c>
      <c r="G239" s="5" t="s">
        <v>91</v>
      </c>
      <c r="H239" s="5" t="s">
        <v>61</v>
      </c>
      <c r="I239" s="5" t="s">
        <v>40</v>
      </c>
      <c r="J239" s="5" t="s">
        <v>29</v>
      </c>
      <c r="K239" s="5" t="s">
        <v>30</v>
      </c>
      <c r="L239" s="5" t="s">
        <v>31</v>
      </c>
      <c r="M239" s="5" t="s">
        <v>32</v>
      </c>
      <c r="N239" s="5" t="s">
        <v>33</v>
      </c>
    </row>
    <row r="240" spans="1:14" ht="15.75" customHeight="1" x14ac:dyDescent="0.2">
      <c r="A240" s="5" t="s">
        <v>41</v>
      </c>
      <c r="B240" s="5">
        <v>0</v>
      </c>
      <c r="C240" s="5">
        <v>0</v>
      </c>
      <c r="D240" s="5" t="s">
        <v>98</v>
      </c>
      <c r="E240" s="5" t="s">
        <v>93</v>
      </c>
      <c r="F240" s="5" t="s">
        <v>92</v>
      </c>
      <c r="G240" s="5" t="s">
        <v>90</v>
      </c>
      <c r="H240" s="5" t="s">
        <v>61</v>
      </c>
      <c r="I240" s="5" t="s">
        <v>41</v>
      </c>
      <c r="J240" s="5" t="s">
        <v>29</v>
      </c>
      <c r="K240" s="5" t="s">
        <v>30</v>
      </c>
      <c r="L240" s="5" t="s">
        <v>31</v>
      </c>
      <c r="M240" s="5" t="s">
        <v>32</v>
      </c>
      <c r="N240" s="5" t="s">
        <v>33</v>
      </c>
    </row>
    <row r="241" spans="1:14" ht="15.75" customHeight="1" x14ac:dyDescent="0.2">
      <c r="A241" s="5" t="s">
        <v>35</v>
      </c>
      <c r="B241" s="5">
        <v>0</v>
      </c>
      <c r="C241" s="5">
        <v>0</v>
      </c>
      <c r="D241" s="5" t="s">
        <v>98</v>
      </c>
      <c r="E241" s="5" t="s">
        <v>93</v>
      </c>
      <c r="F241" s="5" t="s">
        <v>92</v>
      </c>
      <c r="G241" s="5" t="s">
        <v>91</v>
      </c>
      <c r="H241" s="5" t="s">
        <v>61</v>
      </c>
      <c r="I241" s="5" t="s">
        <v>41</v>
      </c>
      <c r="J241" s="5" t="s">
        <v>29</v>
      </c>
      <c r="K241" s="5" t="s">
        <v>30</v>
      </c>
      <c r="L241" s="5" t="s">
        <v>31</v>
      </c>
      <c r="M241" s="5" t="s">
        <v>32</v>
      </c>
      <c r="N241" s="5" t="s">
        <v>33</v>
      </c>
    </row>
    <row r="242" spans="1:14" ht="15.75" customHeight="1" x14ac:dyDescent="0.2">
      <c r="A242" s="5" t="s">
        <v>42</v>
      </c>
      <c r="B242" s="5">
        <v>0</v>
      </c>
      <c r="C242" s="5">
        <v>0</v>
      </c>
      <c r="D242" s="5" t="s">
        <v>98</v>
      </c>
      <c r="E242" s="5" t="s">
        <v>93</v>
      </c>
      <c r="F242" s="5" t="s">
        <v>92</v>
      </c>
      <c r="G242" s="5" t="s">
        <v>90</v>
      </c>
      <c r="H242" s="5" t="s">
        <v>61</v>
      </c>
      <c r="I242" s="5" t="s">
        <v>42</v>
      </c>
      <c r="J242" s="5" t="s">
        <v>29</v>
      </c>
      <c r="K242" s="5" t="s">
        <v>30</v>
      </c>
      <c r="L242" s="5" t="s">
        <v>31</v>
      </c>
      <c r="M242" s="5" t="s">
        <v>32</v>
      </c>
      <c r="N242" s="5" t="s">
        <v>33</v>
      </c>
    </row>
    <row r="243" spans="1:14" ht="15.75" customHeight="1" x14ac:dyDescent="0.2">
      <c r="A243" s="5" t="s">
        <v>35</v>
      </c>
      <c r="B243" s="5">
        <v>0</v>
      </c>
      <c r="C243" s="5">
        <v>0</v>
      </c>
      <c r="D243" s="5" t="s">
        <v>98</v>
      </c>
      <c r="E243" s="5" t="s">
        <v>93</v>
      </c>
      <c r="F243" s="5" t="s">
        <v>92</v>
      </c>
      <c r="G243" s="5" t="s">
        <v>91</v>
      </c>
      <c r="H243" s="5" t="s">
        <v>61</v>
      </c>
      <c r="I243" s="5" t="s">
        <v>42</v>
      </c>
      <c r="J243" s="5" t="s">
        <v>29</v>
      </c>
      <c r="K243" s="5" t="s">
        <v>30</v>
      </c>
      <c r="L243" s="5" t="s">
        <v>31</v>
      </c>
      <c r="M243" s="5" t="s">
        <v>32</v>
      </c>
      <c r="N243" s="5" t="s">
        <v>33</v>
      </c>
    </row>
    <row r="244" spans="1:14" ht="15.75" customHeight="1" x14ac:dyDescent="0.2">
      <c r="A244" s="5" t="s">
        <v>43</v>
      </c>
      <c r="B244" s="5">
        <v>0</v>
      </c>
      <c r="C244" s="5">
        <v>0</v>
      </c>
      <c r="D244" s="5" t="s">
        <v>98</v>
      </c>
      <c r="E244" s="5" t="s">
        <v>93</v>
      </c>
      <c r="F244" s="5" t="s">
        <v>92</v>
      </c>
      <c r="G244" s="5" t="s">
        <v>90</v>
      </c>
      <c r="H244" s="5" t="s">
        <v>61</v>
      </c>
      <c r="I244" s="5" t="s">
        <v>43</v>
      </c>
      <c r="J244" s="5" t="s">
        <v>29</v>
      </c>
      <c r="K244" s="5" t="s">
        <v>30</v>
      </c>
      <c r="L244" s="5" t="s">
        <v>31</v>
      </c>
      <c r="M244" s="5" t="s">
        <v>32</v>
      </c>
      <c r="N244" s="5" t="s">
        <v>33</v>
      </c>
    </row>
    <row r="245" spans="1:14" ht="15.75" customHeight="1" x14ac:dyDescent="0.2">
      <c r="A245" s="5" t="s">
        <v>35</v>
      </c>
      <c r="B245" s="5">
        <v>0</v>
      </c>
      <c r="C245" s="5">
        <v>0</v>
      </c>
      <c r="D245" s="5" t="s">
        <v>98</v>
      </c>
      <c r="E245" s="5" t="s">
        <v>93</v>
      </c>
      <c r="F245" s="5" t="s">
        <v>92</v>
      </c>
      <c r="G245" s="5" t="s">
        <v>91</v>
      </c>
      <c r="H245" s="5" t="s">
        <v>61</v>
      </c>
      <c r="I245" s="5" t="s">
        <v>43</v>
      </c>
      <c r="J245" s="5" t="s">
        <v>29</v>
      </c>
      <c r="K245" s="5" t="s">
        <v>30</v>
      </c>
      <c r="L245" s="5" t="s">
        <v>31</v>
      </c>
      <c r="M245" s="5" t="s">
        <v>32</v>
      </c>
      <c r="N245" s="5" t="s">
        <v>33</v>
      </c>
    </row>
    <row r="246" spans="1:14" ht="15.75" customHeight="1" x14ac:dyDescent="0.2">
      <c r="A246" s="5" t="s">
        <v>44</v>
      </c>
      <c r="B246" s="5">
        <v>0</v>
      </c>
      <c r="C246" s="5">
        <v>0</v>
      </c>
      <c r="D246" s="5" t="s">
        <v>98</v>
      </c>
      <c r="E246" s="5" t="s">
        <v>93</v>
      </c>
      <c r="F246" s="5" t="s">
        <v>92</v>
      </c>
      <c r="G246" s="5" t="s">
        <v>90</v>
      </c>
      <c r="H246" s="5" t="s">
        <v>61</v>
      </c>
      <c r="I246" s="5" t="s">
        <v>44</v>
      </c>
      <c r="J246" s="5" t="s">
        <v>29</v>
      </c>
      <c r="K246" s="5" t="s">
        <v>30</v>
      </c>
      <c r="L246" s="5" t="s">
        <v>31</v>
      </c>
      <c r="M246" s="5" t="s">
        <v>32</v>
      </c>
      <c r="N246" s="5" t="s">
        <v>33</v>
      </c>
    </row>
    <row r="247" spans="1:14" ht="15.75" customHeight="1" x14ac:dyDescent="0.2">
      <c r="A247" s="5" t="s">
        <v>35</v>
      </c>
      <c r="B247" s="5">
        <v>0</v>
      </c>
      <c r="C247" s="5">
        <v>0</v>
      </c>
      <c r="D247" s="5" t="s">
        <v>98</v>
      </c>
      <c r="E247" s="5" t="s">
        <v>93</v>
      </c>
      <c r="F247" s="5" t="s">
        <v>92</v>
      </c>
      <c r="G247" s="5" t="s">
        <v>91</v>
      </c>
      <c r="H247" s="5" t="s">
        <v>61</v>
      </c>
      <c r="I247" s="5" t="s">
        <v>44</v>
      </c>
      <c r="J247" s="5" t="s">
        <v>29</v>
      </c>
      <c r="K247" s="5" t="s">
        <v>30</v>
      </c>
      <c r="L247" s="5" t="s">
        <v>31</v>
      </c>
      <c r="M247" s="5" t="s">
        <v>32</v>
      </c>
      <c r="N247" s="5" t="s">
        <v>33</v>
      </c>
    </row>
    <row r="248" spans="1:14" ht="15.75" customHeight="1" x14ac:dyDescent="0.2">
      <c r="A248" s="5" t="s">
        <v>45</v>
      </c>
      <c r="B248" s="5">
        <v>0</v>
      </c>
      <c r="C248" s="5">
        <v>0</v>
      </c>
      <c r="D248" s="5" t="s">
        <v>98</v>
      </c>
      <c r="E248" s="5" t="s">
        <v>93</v>
      </c>
      <c r="F248" s="5" t="s">
        <v>92</v>
      </c>
      <c r="G248" s="5" t="s">
        <v>90</v>
      </c>
      <c r="H248" s="5" t="s">
        <v>61</v>
      </c>
      <c r="I248" s="5" t="s">
        <v>45</v>
      </c>
      <c r="J248" s="5" t="s">
        <v>29</v>
      </c>
      <c r="K248" s="5" t="s">
        <v>30</v>
      </c>
      <c r="L248" s="5" t="s">
        <v>31</v>
      </c>
      <c r="M248" s="5" t="s">
        <v>32</v>
      </c>
      <c r="N248" s="5" t="s">
        <v>33</v>
      </c>
    </row>
    <row r="249" spans="1:14" ht="15.75" customHeight="1" x14ac:dyDescent="0.2">
      <c r="A249" s="5" t="s">
        <v>35</v>
      </c>
      <c r="B249" s="5">
        <v>0</v>
      </c>
      <c r="C249" s="5">
        <v>0</v>
      </c>
      <c r="D249" s="5" t="s">
        <v>98</v>
      </c>
      <c r="E249" s="5" t="s">
        <v>93</v>
      </c>
      <c r="F249" s="5" t="s">
        <v>92</v>
      </c>
      <c r="G249" s="5" t="s">
        <v>91</v>
      </c>
      <c r="H249" s="5" t="s">
        <v>61</v>
      </c>
      <c r="I249" s="5" t="s">
        <v>45</v>
      </c>
      <c r="J249" s="5" t="s">
        <v>29</v>
      </c>
      <c r="K249" s="5" t="s">
        <v>30</v>
      </c>
      <c r="L249" s="5" t="s">
        <v>31</v>
      </c>
      <c r="M249" s="5" t="s">
        <v>32</v>
      </c>
      <c r="N249" s="5" t="s">
        <v>33</v>
      </c>
    </row>
    <row r="250" spans="1:14" ht="15.75" customHeight="1" x14ac:dyDescent="0.2">
      <c r="A250" s="5" t="s">
        <v>46</v>
      </c>
      <c r="B250" s="5">
        <v>0</v>
      </c>
      <c r="C250" s="5">
        <v>0</v>
      </c>
      <c r="D250" s="5" t="s">
        <v>98</v>
      </c>
      <c r="E250" s="5" t="s">
        <v>93</v>
      </c>
      <c r="F250" s="5" t="s">
        <v>92</v>
      </c>
      <c r="G250" s="5" t="s">
        <v>90</v>
      </c>
      <c r="H250" s="5" t="s">
        <v>61</v>
      </c>
      <c r="I250" s="5" t="s">
        <v>46</v>
      </c>
      <c r="J250" s="5" t="s">
        <v>29</v>
      </c>
      <c r="K250" s="5" t="s">
        <v>30</v>
      </c>
      <c r="L250" s="5" t="s">
        <v>31</v>
      </c>
      <c r="M250" s="5" t="s">
        <v>32</v>
      </c>
      <c r="N250" s="5" t="s">
        <v>33</v>
      </c>
    </row>
    <row r="251" spans="1:14" ht="15.75" customHeight="1" x14ac:dyDescent="0.2">
      <c r="A251" s="5" t="s">
        <v>35</v>
      </c>
      <c r="B251" s="5">
        <v>0</v>
      </c>
      <c r="C251" s="5">
        <v>0</v>
      </c>
      <c r="D251" s="5" t="s">
        <v>98</v>
      </c>
      <c r="E251" s="5" t="s">
        <v>93</v>
      </c>
      <c r="F251" s="5" t="s">
        <v>92</v>
      </c>
      <c r="G251" s="5" t="s">
        <v>91</v>
      </c>
      <c r="H251" s="5" t="s">
        <v>61</v>
      </c>
      <c r="I251" s="5" t="s">
        <v>46</v>
      </c>
      <c r="J251" s="5" t="s">
        <v>29</v>
      </c>
      <c r="K251" s="5" t="s">
        <v>30</v>
      </c>
      <c r="L251" s="5" t="s">
        <v>31</v>
      </c>
      <c r="M251" s="5" t="s">
        <v>32</v>
      </c>
      <c r="N251" s="5" t="s">
        <v>33</v>
      </c>
    </row>
    <row r="252" spans="1:14" ht="15.75" customHeight="1" x14ac:dyDescent="0.2">
      <c r="A252" s="5" t="s">
        <v>87</v>
      </c>
      <c r="B252" s="5">
        <v>2</v>
      </c>
      <c r="C252" s="5">
        <v>151.5</v>
      </c>
      <c r="D252" s="5" t="s">
        <v>99</v>
      </c>
      <c r="E252" s="5" t="s">
        <v>93</v>
      </c>
      <c r="F252" s="5" t="s">
        <v>92</v>
      </c>
      <c r="G252" s="5" t="s">
        <v>89</v>
      </c>
      <c r="H252" s="5" t="s">
        <v>60</v>
      </c>
      <c r="I252" s="5" t="s">
        <v>87</v>
      </c>
      <c r="J252" s="5" t="s">
        <v>29</v>
      </c>
      <c r="K252" s="5" t="s">
        <v>30</v>
      </c>
      <c r="L252" s="5" t="s">
        <v>31</v>
      </c>
      <c r="M252" s="5" t="s">
        <v>32</v>
      </c>
      <c r="N252" s="5" t="s">
        <v>33</v>
      </c>
    </row>
    <row r="253" spans="1:14" ht="15.75" customHeight="1" x14ac:dyDescent="0.2">
      <c r="A253" s="5" t="s">
        <v>34</v>
      </c>
      <c r="B253" s="5">
        <v>0</v>
      </c>
      <c r="C253" s="5">
        <v>0</v>
      </c>
      <c r="D253" s="5" t="s">
        <v>99</v>
      </c>
      <c r="E253" s="5" t="s">
        <v>93</v>
      </c>
      <c r="F253" s="5" t="s">
        <v>92</v>
      </c>
      <c r="G253" s="5" t="s">
        <v>90</v>
      </c>
      <c r="H253" s="5" t="s">
        <v>60</v>
      </c>
      <c r="I253" s="5" t="s">
        <v>34</v>
      </c>
      <c r="J253" s="5" t="s">
        <v>29</v>
      </c>
      <c r="K253" s="5" t="s">
        <v>30</v>
      </c>
      <c r="L253" s="5" t="s">
        <v>31</v>
      </c>
      <c r="M253" s="5" t="s">
        <v>32</v>
      </c>
      <c r="N253" s="5" t="s">
        <v>33</v>
      </c>
    </row>
    <row r="254" spans="1:14" ht="15.75" customHeight="1" x14ac:dyDescent="0.2">
      <c r="A254" s="5" t="s">
        <v>35</v>
      </c>
      <c r="B254" s="5">
        <v>0</v>
      </c>
      <c r="C254" s="5">
        <v>0</v>
      </c>
      <c r="D254" s="5" t="s">
        <v>99</v>
      </c>
      <c r="E254" s="5" t="s">
        <v>93</v>
      </c>
      <c r="F254" s="5" t="s">
        <v>92</v>
      </c>
      <c r="G254" s="5" t="s">
        <v>91</v>
      </c>
      <c r="H254" s="5" t="s">
        <v>60</v>
      </c>
      <c r="I254" s="5" t="s">
        <v>34</v>
      </c>
      <c r="J254" s="5" t="s">
        <v>29</v>
      </c>
      <c r="K254" s="5" t="s">
        <v>30</v>
      </c>
      <c r="L254" s="5" t="s">
        <v>31</v>
      </c>
      <c r="M254" s="5" t="s">
        <v>32</v>
      </c>
      <c r="N254" s="5" t="s">
        <v>33</v>
      </c>
    </row>
    <row r="255" spans="1:14" ht="15.75" customHeight="1" x14ac:dyDescent="0.2">
      <c r="A255" s="5" t="s">
        <v>36</v>
      </c>
      <c r="B255" s="5">
        <v>1</v>
      </c>
      <c r="C255" s="5">
        <v>75.75</v>
      </c>
      <c r="D255" s="5" t="s">
        <v>99</v>
      </c>
      <c r="E255" s="5" t="s">
        <v>93</v>
      </c>
      <c r="F255" s="5" t="s">
        <v>92</v>
      </c>
      <c r="G255" s="5" t="s">
        <v>90</v>
      </c>
      <c r="H255" s="5" t="s">
        <v>60</v>
      </c>
      <c r="I255" s="5" t="s">
        <v>36</v>
      </c>
      <c r="J255" s="5" t="s">
        <v>29</v>
      </c>
      <c r="K255" s="5" t="s">
        <v>30</v>
      </c>
      <c r="L255" s="5" t="s">
        <v>31</v>
      </c>
      <c r="M255" s="5" t="s">
        <v>32</v>
      </c>
      <c r="N255" s="5" t="s">
        <v>33</v>
      </c>
    </row>
    <row r="256" spans="1:14" ht="15.75" customHeight="1" x14ac:dyDescent="0.2">
      <c r="A256" s="5" t="s">
        <v>35</v>
      </c>
      <c r="B256" s="5">
        <v>1</v>
      </c>
      <c r="C256" s="5">
        <v>75.75</v>
      </c>
      <c r="D256" s="5" t="s">
        <v>99</v>
      </c>
      <c r="E256" s="5" t="s">
        <v>93</v>
      </c>
      <c r="F256" s="5" t="s">
        <v>92</v>
      </c>
      <c r="G256" s="5" t="s">
        <v>91</v>
      </c>
      <c r="H256" s="5" t="s">
        <v>60</v>
      </c>
      <c r="I256" s="5" t="s">
        <v>36</v>
      </c>
      <c r="J256" s="5" t="s">
        <v>29</v>
      </c>
      <c r="K256" s="5" t="s">
        <v>30</v>
      </c>
      <c r="L256" s="5" t="s">
        <v>31</v>
      </c>
      <c r="M256" s="5" t="s">
        <v>32</v>
      </c>
      <c r="N256" s="5" t="s">
        <v>33</v>
      </c>
    </row>
    <row r="257" spans="1:14" ht="15.75" customHeight="1" x14ac:dyDescent="0.2">
      <c r="A257" s="5" t="s">
        <v>37</v>
      </c>
      <c r="B257" s="5">
        <v>0</v>
      </c>
      <c r="C257" s="5">
        <v>0</v>
      </c>
      <c r="D257" s="5" t="s">
        <v>99</v>
      </c>
      <c r="E257" s="5" t="s">
        <v>93</v>
      </c>
      <c r="F257" s="5" t="s">
        <v>92</v>
      </c>
      <c r="G257" s="5" t="s">
        <v>90</v>
      </c>
      <c r="H257" s="5" t="s">
        <v>60</v>
      </c>
      <c r="I257" s="5" t="s">
        <v>37</v>
      </c>
      <c r="J257" s="5" t="s">
        <v>29</v>
      </c>
      <c r="K257" s="5" t="s">
        <v>30</v>
      </c>
      <c r="L257" s="5" t="s">
        <v>31</v>
      </c>
      <c r="M257" s="5" t="s">
        <v>32</v>
      </c>
      <c r="N257" s="5" t="s">
        <v>33</v>
      </c>
    </row>
    <row r="258" spans="1:14" ht="15.75" customHeight="1" x14ac:dyDescent="0.2">
      <c r="A258" s="5" t="s">
        <v>35</v>
      </c>
      <c r="B258" s="5">
        <v>0</v>
      </c>
      <c r="C258" s="5">
        <v>0</v>
      </c>
      <c r="D258" s="5" t="s">
        <v>99</v>
      </c>
      <c r="E258" s="5" t="s">
        <v>93</v>
      </c>
      <c r="F258" s="5" t="s">
        <v>92</v>
      </c>
      <c r="G258" s="5" t="s">
        <v>91</v>
      </c>
      <c r="H258" s="5" t="s">
        <v>60</v>
      </c>
      <c r="I258" s="5" t="s">
        <v>37</v>
      </c>
      <c r="J258" s="5" t="s">
        <v>29</v>
      </c>
      <c r="K258" s="5" t="s">
        <v>30</v>
      </c>
      <c r="L258" s="5" t="s">
        <v>31</v>
      </c>
      <c r="M258" s="5" t="s">
        <v>32</v>
      </c>
      <c r="N258" s="5" t="s">
        <v>33</v>
      </c>
    </row>
    <row r="259" spans="1:14" ht="15.75" customHeight="1" x14ac:dyDescent="0.2">
      <c r="A259" s="5" t="s">
        <v>38</v>
      </c>
      <c r="B259" s="5">
        <v>0</v>
      </c>
      <c r="C259" s="5">
        <v>0</v>
      </c>
      <c r="D259" s="5" t="s">
        <v>99</v>
      </c>
      <c r="E259" s="5" t="s">
        <v>93</v>
      </c>
      <c r="F259" s="5" t="s">
        <v>92</v>
      </c>
      <c r="G259" s="5" t="s">
        <v>90</v>
      </c>
      <c r="H259" s="5" t="s">
        <v>60</v>
      </c>
      <c r="I259" s="5" t="s">
        <v>38</v>
      </c>
      <c r="J259" s="5" t="s">
        <v>29</v>
      </c>
      <c r="K259" s="5" t="s">
        <v>30</v>
      </c>
      <c r="L259" s="5" t="s">
        <v>31</v>
      </c>
      <c r="M259" s="5" t="s">
        <v>32</v>
      </c>
      <c r="N259" s="5" t="s">
        <v>33</v>
      </c>
    </row>
    <row r="260" spans="1:14" ht="15.75" customHeight="1" x14ac:dyDescent="0.2">
      <c r="A260" s="5" t="s">
        <v>35</v>
      </c>
      <c r="B260" s="5">
        <v>0</v>
      </c>
      <c r="C260" s="5">
        <v>0</v>
      </c>
      <c r="D260" s="5" t="s">
        <v>99</v>
      </c>
      <c r="E260" s="5" t="s">
        <v>93</v>
      </c>
      <c r="F260" s="5" t="s">
        <v>92</v>
      </c>
      <c r="G260" s="5" t="s">
        <v>91</v>
      </c>
      <c r="H260" s="5" t="s">
        <v>60</v>
      </c>
      <c r="I260" s="5" t="s">
        <v>38</v>
      </c>
      <c r="J260" s="5" t="s">
        <v>29</v>
      </c>
      <c r="K260" s="5" t="s">
        <v>30</v>
      </c>
      <c r="L260" s="5" t="s">
        <v>31</v>
      </c>
      <c r="M260" s="5" t="s">
        <v>32</v>
      </c>
      <c r="N260" s="5" t="s">
        <v>33</v>
      </c>
    </row>
    <row r="261" spans="1:14" ht="15.75" customHeight="1" x14ac:dyDescent="0.2">
      <c r="A261" s="5" t="s">
        <v>39</v>
      </c>
      <c r="B261" s="5">
        <v>0</v>
      </c>
      <c r="C261" s="5">
        <v>0</v>
      </c>
      <c r="D261" s="5" t="s">
        <v>99</v>
      </c>
      <c r="E261" s="5" t="s">
        <v>93</v>
      </c>
      <c r="F261" s="5" t="s">
        <v>92</v>
      </c>
      <c r="G261" s="5" t="s">
        <v>90</v>
      </c>
      <c r="H261" s="5" t="s">
        <v>60</v>
      </c>
      <c r="I261" s="5" t="s">
        <v>39</v>
      </c>
      <c r="J261" s="5" t="s">
        <v>29</v>
      </c>
      <c r="K261" s="5" t="s">
        <v>30</v>
      </c>
      <c r="L261" s="5" t="s">
        <v>31</v>
      </c>
      <c r="M261" s="5" t="s">
        <v>32</v>
      </c>
      <c r="N261" s="5" t="s">
        <v>33</v>
      </c>
    </row>
    <row r="262" spans="1:14" ht="15.75" customHeight="1" x14ac:dyDescent="0.2">
      <c r="A262" s="5" t="s">
        <v>35</v>
      </c>
      <c r="B262" s="5">
        <v>0</v>
      </c>
      <c r="C262" s="5">
        <v>0</v>
      </c>
      <c r="D262" s="5" t="s">
        <v>99</v>
      </c>
      <c r="E262" s="5" t="s">
        <v>93</v>
      </c>
      <c r="F262" s="5" t="s">
        <v>92</v>
      </c>
      <c r="G262" s="5" t="s">
        <v>91</v>
      </c>
      <c r="H262" s="5" t="s">
        <v>60</v>
      </c>
      <c r="I262" s="5" t="s">
        <v>39</v>
      </c>
      <c r="J262" s="5" t="s">
        <v>29</v>
      </c>
      <c r="K262" s="5" t="s">
        <v>30</v>
      </c>
      <c r="L262" s="5" t="s">
        <v>31</v>
      </c>
      <c r="M262" s="5" t="s">
        <v>32</v>
      </c>
      <c r="N262" s="5" t="s">
        <v>33</v>
      </c>
    </row>
    <row r="263" spans="1:14" ht="15.75" customHeight="1" x14ac:dyDescent="0.2">
      <c r="A263" s="5" t="s">
        <v>40</v>
      </c>
      <c r="B263" s="5">
        <v>0</v>
      </c>
      <c r="C263" s="5">
        <v>0</v>
      </c>
      <c r="D263" s="5" t="s">
        <v>99</v>
      </c>
      <c r="E263" s="5" t="s">
        <v>93</v>
      </c>
      <c r="F263" s="5" t="s">
        <v>92</v>
      </c>
      <c r="G263" s="5" t="s">
        <v>90</v>
      </c>
      <c r="H263" s="5" t="s">
        <v>60</v>
      </c>
      <c r="I263" s="5" t="s">
        <v>40</v>
      </c>
      <c r="J263" s="5" t="s">
        <v>29</v>
      </c>
      <c r="K263" s="5" t="s">
        <v>30</v>
      </c>
      <c r="L263" s="5" t="s">
        <v>31</v>
      </c>
      <c r="M263" s="5" t="s">
        <v>32</v>
      </c>
      <c r="N263" s="5" t="s">
        <v>33</v>
      </c>
    </row>
    <row r="264" spans="1:14" ht="15.75" customHeight="1" x14ac:dyDescent="0.2">
      <c r="A264" s="5" t="s">
        <v>35</v>
      </c>
      <c r="B264" s="5">
        <v>0</v>
      </c>
      <c r="C264" s="5">
        <v>0</v>
      </c>
      <c r="D264" s="5" t="s">
        <v>99</v>
      </c>
      <c r="E264" s="5" t="s">
        <v>93</v>
      </c>
      <c r="F264" s="5" t="s">
        <v>92</v>
      </c>
      <c r="G264" s="5" t="s">
        <v>91</v>
      </c>
      <c r="H264" s="5" t="s">
        <v>60</v>
      </c>
      <c r="I264" s="5" t="s">
        <v>40</v>
      </c>
      <c r="J264" s="5" t="s">
        <v>29</v>
      </c>
      <c r="K264" s="5" t="s">
        <v>30</v>
      </c>
      <c r="L264" s="5" t="s">
        <v>31</v>
      </c>
      <c r="M264" s="5" t="s">
        <v>32</v>
      </c>
      <c r="N264" s="5" t="s">
        <v>33</v>
      </c>
    </row>
    <row r="265" spans="1:14" ht="15.75" customHeight="1" x14ac:dyDescent="0.2">
      <c r="A265" s="5" t="s">
        <v>41</v>
      </c>
      <c r="B265" s="5">
        <v>0</v>
      </c>
      <c r="C265" s="5">
        <v>0</v>
      </c>
      <c r="D265" s="5" t="s">
        <v>99</v>
      </c>
      <c r="E265" s="5" t="s">
        <v>93</v>
      </c>
      <c r="F265" s="5" t="s">
        <v>92</v>
      </c>
      <c r="G265" s="5" t="s">
        <v>90</v>
      </c>
      <c r="H265" s="5" t="s">
        <v>60</v>
      </c>
      <c r="I265" s="5" t="s">
        <v>41</v>
      </c>
      <c r="J265" s="5" t="s">
        <v>29</v>
      </c>
      <c r="K265" s="5" t="s">
        <v>30</v>
      </c>
      <c r="L265" s="5" t="s">
        <v>31</v>
      </c>
      <c r="M265" s="5" t="s">
        <v>32</v>
      </c>
      <c r="N265" s="5" t="s">
        <v>33</v>
      </c>
    </row>
    <row r="266" spans="1:14" ht="15.75" customHeight="1" x14ac:dyDescent="0.2">
      <c r="A266" s="5" t="s">
        <v>35</v>
      </c>
      <c r="B266" s="5">
        <v>0</v>
      </c>
      <c r="C266" s="5">
        <v>0</v>
      </c>
      <c r="D266" s="5" t="s">
        <v>99</v>
      </c>
      <c r="E266" s="5" t="s">
        <v>93</v>
      </c>
      <c r="F266" s="5" t="s">
        <v>92</v>
      </c>
      <c r="G266" s="5" t="s">
        <v>91</v>
      </c>
      <c r="H266" s="5" t="s">
        <v>60</v>
      </c>
      <c r="I266" s="5" t="s">
        <v>41</v>
      </c>
      <c r="J266" s="5" t="s">
        <v>29</v>
      </c>
      <c r="K266" s="5" t="s">
        <v>30</v>
      </c>
      <c r="L266" s="5" t="s">
        <v>31</v>
      </c>
      <c r="M266" s="5" t="s">
        <v>32</v>
      </c>
      <c r="N266" s="5" t="s">
        <v>33</v>
      </c>
    </row>
    <row r="267" spans="1:14" ht="15.75" customHeight="1" x14ac:dyDescent="0.2">
      <c r="A267" s="5" t="s">
        <v>42</v>
      </c>
      <c r="B267" s="5">
        <v>1</v>
      </c>
      <c r="C267" s="5">
        <v>75.75</v>
      </c>
      <c r="D267" s="5" t="s">
        <v>99</v>
      </c>
      <c r="E267" s="5" t="s">
        <v>93</v>
      </c>
      <c r="F267" s="5" t="s">
        <v>92</v>
      </c>
      <c r="G267" s="5" t="s">
        <v>90</v>
      </c>
      <c r="H267" s="5" t="s">
        <v>60</v>
      </c>
      <c r="I267" s="5" t="s">
        <v>42</v>
      </c>
      <c r="J267" s="5" t="s">
        <v>29</v>
      </c>
      <c r="K267" s="5" t="s">
        <v>30</v>
      </c>
      <c r="L267" s="5" t="s">
        <v>31</v>
      </c>
      <c r="M267" s="5" t="s">
        <v>32</v>
      </c>
      <c r="N267" s="5" t="s">
        <v>33</v>
      </c>
    </row>
    <row r="268" spans="1:14" ht="15.75" customHeight="1" x14ac:dyDescent="0.2">
      <c r="A268" s="5" t="s">
        <v>35</v>
      </c>
      <c r="B268" s="5">
        <v>1</v>
      </c>
      <c r="C268" s="5">
        <v>75.75</v>
      </c>
      <c r="D268" s="5" t="s">
        <v>99</v>
      </c>
      <c r="E268" s="5" t="s">
        <v>93</v>
      </c>
      <c r="F268" s="5" t="s">
        <v>92</v>
      </c>
      <c r="G268" s="5" t="s">
        <v>91</v>
      </c>
      <c r="H268" s="5" t="s">
        <v>60</v>
      </c>
      <c r="I268" s="5" t="s">
        <v>42</v>
      </c>
      <c r="J268" s="5" t="s">
        <v>29</v>
      </c>
      <c r="K268" s="5" t="s">
        <v>30</v>
      </c>
      <c r="L268" s="5" t="s">
        <v>31</v>
      </c>
      <c r="M268" s="5" t="s">
        <v>32</v>
      </c>
      <c r="N268" s="5" t="s">
        <v>33</v>
      </c>
    </row>
    <row r="269" spans="1:14" ht="15.75" customHeight="1" x14ac:dyDescent="0.2">
      <c r="A269" s="5" t="s">
        <v>43</v>
      </c>
      <c r="B269" s="5">
        <v>0</v>
      </c>
      <c r="C269" s="5">
        <v>0</v>
      </c>
      <c r="D269" s="5" t="s">
        <v>99</v>
      </c>
      <c r="E269" s="5" t="s">
        <v>93</v>
      </c>
      <c r="F269" s="5" t="s">
        <v>92</v>
      </c>
      <c r="G269" s="5" t="s">
        <v>90</v>
      </c>
      <c r="H269" s="5" t="s">
        <v>60</v>
      </c>
      <c r="I269" s="5" t="s">
        <v>43</v>
      </c>
      <c r="J269" s="5" t="s">
        <v>29</v>
      </c>
      <c r="K269" s="5" t="s">
        <v>30</v>
      </c>
      <c r="L269" s="5" t="s">
        <v>31</v>
      </c>
      <c r="M269" s="5" t="s">
        <v>32</v>
      </c>
      <c r="N269" s="5" t="s">
        <v>33</v>
      </c>
    </row>
    <row r="270" spans="1:14" ht="15.75" customHeight="1" x14ac:dyDescent="0.2">
      <c r="A270" s="5" t="s">
        <v>35</v>
      </c>
      <c r="B270" s="5">
        <v>0</v>
      </c>
      <c r="C270" s="5">
        <v>0</v>
      </c>
      <c r="D270" s="5" t="s">
        <v>99</v>
      </c>
      <c r="E270" s="5" t="s">
        <v>93</v>
      </c>
      <c r="F270" s="5" t="s">
        <v>92</v>
      </c>
      <c r="G270" s="5" t="s">
        <v>91</v>
      </c>
      <c r="H270" s="5" t="s">
        <v>60</v>
      </c>
      <c r="I270" s="5" t="s">
        <v>43</v>
      </c>
      <c r="J270" s="5" t="s">
        <v>29</v>
      </c>
      <c r="K270" s="5" t="s">
        <v>30</v>
      </c>
      <c r="L270" s="5" t="s">
        <v>31</v>
      </c>
      <c r="M270" s="5" t="s">
        <v>32</v>
      </c>
      <c r="N270" s="5" t="s">
        <v>33</v>
      </c>
    </row>
    <row r="271" spans="1:14" ht="15.75" customHeight="1" x14ac:dyDescent="0.2">
      <c r="A271" s="5" t="s">
        <v>44</v>
      </c>
      <c r="B271" s="5">
        <v>0</v>
      </c>
      <c r="C271" s="5">
        <v>0</v>
      </c>
      <c r="D271" s="5" t="s">
        <v>99</v>
      </c>
      <c r="E271" s="5" t="s">
        <v>93</v>
      </c>
      <c r="F271" s="5" t="s">
        <v>92</v>
      </c>
      <c r="G271" s="5" t="s">
        <v>90</v>
      </c>
      <c r="H271" s="5" t="s">
        <v>60</v>
      </c>
      <c r="I271" s="5" t="s">
        <v>44</v>
      </c>
      <c r="J271" s="5" t="s">
        <v>29</v>
      </c>
      <c r="K271" s="5" t="s">
        <v>30</v>
      </c>
      <c r="L271" s="5" t="s">
        <v>31</v>
      </c>
      <c r="M271" s="5" t="s">
        <v>32</v>
      </c>
      <c r="N271" s="5" t="s">
        <v>33</v>
      </c>
    </row>
    <row r="272" spans="1:14" ht="15.75" customHeight="1" x14ac:dyDescent="0.2">
      <c r="A272" s="5" t="s">
        <v>35</v>
      </c>
      <c r="B272" s="5">
        <v>0</v>
      </c>
      <c r="C272" s="5">
        <v>0</v>
      </c>
      <c r="D272" s="5" t="s">
        <v>99</v>
      </c>
      <c r="E272" s="5" t="s">
        <v>93</v>
      </c>
      <c r="F272" s="5" t="s">
        <v>92</v>
      </c>
      <c r="G272" s="5" t="s">
        <v>91</v>
      </c>
      <c r="H272" s="5" t="s">
        <v>60</v>
      </c>
      <c r="I272" s="5" t="s">
        <v>44</v>
      </c>
      <c r="J272" s="5" t="s">
        <v>29</v>
      </c>
      <c r="K272" s="5" t="s">
        <v>30</v>
      </c>
      <c r="L272" s="5" t="s">
        <v>31</v>
      </c>
      <c r="M272" s="5" t="s">
        <v>32</v>
      </c>
      <c r="N272" s="5" t="s">
        <v>33</v>
      </c>
    </row>
    <row r="273" spans="1:14" ht="15.75" customHeight="1" x14ac:dyDescent="0.2">
      <c r="A273" s="5" t="s">
        <v>45</v>
      </c>
      <c r="B273" s="5">
        <v>0</v>
      </c>
      <c r="C273" s="5">
        <v>0</v>
      </c>
      <c r="D273" s="5" t="s">
        <v>99</v>
      </c>
      <c r="E273" s="5" t="s">
        <v>93</v>
      </c>
      <c r="F273" s="5" t="s">
        <v>92</v>
      </c>
      <c r="G273" s="5" t="s">
        <v>90</v>
      </c>
      <c r="H273" s="5" t="s">
        <v>60</v>
      </c>
      <c r="I273" s="5" t="s">
        <v>45</v>
      </c>
      <c r="J273" s="5" t="s">
        <v>29</v>
      </c>
      <c r="K273" s="5" t="s">
        <v>30</v>
      </c>
      <c r="L273" s="5" t="s">
        <v>31</v>
      </c>
      <c r="M273" s="5" t="s">
        <v>32</v>
      </c>
      <c r="N273" s="5" t="s">
        <v>33</v>
      </c>
    </row>
    <row r="274" spans="1:14" ht="15.75" customHeight="1" x14ac:dyDescent="0.2">
      <c r="A274" s="5" t="s">
        <v>35</v>
      </c>
      <c r="B274" s="5">
        <v>0</v>
      </c>
      <c r="C274" s="5">
        <v>0</v>
      </c>
      <c r="D274" s="5" t="s">
        <v>99</v>
      </c>
      <c r="E274" s="5" t="s">
        <v>93</v>
      </c>
      <c r="F274" s="5" t="s">
        <v>92</v>
      </c>
      <c r="G274" s="5" t="s">
        <v>91</v>
      </c>
      <c r="H274" s="5" t="s">
        <v>60</v>
      </c>
      <c r="I274" s="5" t="s">
        <v>45</v>
      </c>
      <c r="J274" s="5" t="s">
        <v>29</v>
      </c>
      <c r="K274" s="5" t="s">
        <v>30</v>
      </c>
      <c r="L274" s="5" t="s">
        <v>31</v>
      </c>
      <c r="M274" s="5" t="s">
        <v>32</v>
      </c>
      <c r="N274" s="5" t="s">
        <v>33</v>
      </c>
    </row>
    <row r="275" spans="1:14" ht="15.75" customHeight="1" x14ac:dyDescent="0.2">
      <c r="A275" s="5" t="s">
        <v>46</v>
      </c>
      <c r="B275" s="5">
        <v>0</v>
      </c>
      <c r="C275" s="5">
        <v>0</v>
      </c>
      <c r="D275" s="5" t="s">
        <v>99</v>
      </c>
      <c r="E275" s="5" t="s">
        <v>93</v>
      </c>
      <c r="F275" s="5" t="s">
        <v>92</v>
      </c>
      <c r="G275" s="5" t="s">
        <v>90</v>
      </c>
      <c r="H275" s="5" t="s">
        <v>60</v>
      </c>
      <c r="I275" s="5" t="s">
        <v>46</v>
      </c>
      <c r="J275" s="5" t="s">
        <v>29</v>
      </c>
      <c r="K275" s="5" t="s">
        <v>30</v>
      </c>
      <c r="L275" s="5" t="s">
        <v>31</v>
      </c>
      <c r="M275" s="5" t="s">
        <v>32</v>
      </c>
      <c r="N275" s="5" t="s">
        <v>33</v>
      </c>
    </row>
    <row r="276" spans="1:14" ht="15.75" customHeight="1" x14ac:dyDescent="0.2">
      <c r="A276" s="5" t="s">
        <v>35</v>
      </c>
      <c r="B276" s="5">
        <v>0</v>
      </c>
      <c r="C276" s="5">
        <v>0</v>
      </c>
      <c r="D276" s="5" t="s">
        <v>99</v>
      </c>
      <c r="E276" s="5" t="s">
        <v>93</v>
      </c>
      <c r="F276" s="5" t="s">
        <v>92</v>
      </c>
      <c r="G276" s="5" t="s">
        <v>91</v>
      </c>
      <c r="H276" s="5" t="s">
        <v>60</v>
      </c>
      <c r="I276" s="5" t="s">
        <v>46</v>
      </c>
      <c r="J276" s="5" t="s">
        <v>29</v>
      </c>
      <c r="K276" s="5" t="s">
        <v>30</v>
      </c>
      <c r="L276" s="5" t="s">
        <v>31</v>
      </c>
      <c r="M276" s="5" t="s">
        <v>32</v>
      </c>
      <c r="N276" s="5" t="s">
        <v>33</v>
      </c>
    </row>
    <row r="277" spans="1:14" ht="15.75" customHeight="1" x14ac:dyDescent="0.2">
      <c r="A277" s="5" t="s">
        <v>87</v>
      </c>
      <c r="B277" s="5">
        <v>2</v>
      </c>
      <c r="C277" s="5">
        <v>108</v>
      </c>
      <c r="D277" s="5" t="s">
        <v>100</v>
      </c>
      <c r="E277" s="5" t="s">
        <v>93</v>
      </c>
      <c r="F277" s="5" t="s">
        <v>92</v>
      </c>
      <c r="G277" s="5" t="s">
        <v>89</v>
      </c>
      <c r="H277" s="5" t="s">
        <v>61</v>
      </c>
      <c r="I277" s="5" t="s">
        <v>87</v>
      </c>
      <c r="J277" s="5" t="s">
        <v>29</v>
      </c>
      <c r="K277" s="5" t="s">
        <v>30</v>
      </c>
      <c r="L277" s="5" t="s">
        <v>31</v>
      </c>
      <c r="M277" s="5" t="s">
        <v>32</v>
      </c>
      <c r="N277" s="5" t="s">
        <v>33</v>
      </c>
    </row>
    <row r="278" spans="1:14" ht="15.75" customHeight="1" x14ac:dyDescent="0.2">
      <c r="A278" s="5" t="s">
        <v>34</v>
      </c>
      <c r="B278" s="5">
        <v>2</v>
      </c>
      <c r="C278" s="5">
        <v>108</v>
      </c>
      <c r="D278" s="5" t="s">
        <v>100</v>
      </c>
      <c r="E278" s="5" t="s">
        <v>93</v>
      </c>
      <c r="F278" s="5" t="s">
        <v>92</v>
      </c>
      <c r="G278" s="5" t="s">
        <v>90</v>
      </c>
      <c r="H278" s="5" t="s">
        <v>61</v>
      </c>
      <c r="I278" s="5" t="s">
        <v>34</v>
      </c>
      <c r="J278" s="5" t="s">
        <v>29</v>
      </c>
      <c r="K278" s="5" t="s">
        <v>30</v>
      </c>
      <c r="L278" s="5" t="s">
        <v>31</v>
      </c>
      <c r="M278" s="5" t="s">
        <v>32</v>
      </c>
      <c r="N278" s="5" t="s">
        <v>33</v>
      </c>
    </row>
    <row r="279" spans="1:14" ht="15.75" customHeight="1" x14ac:dyDescent="0.2">
      <c r="A279" s="5" t="s">
        <v>35</v>
      </c>
      <c r="B279" s="5">
        <v>2</v>
      </c>
      <c r="C279" s="5">
        <v>108</v>
      </c>
      <c r="D279" s="5" t="s">
        <v>100</v>
      </c>
      <c r="E279" s="5" t="s">
        <v>93</v>
      </c>
      <c r="F279" s="5" t="s">
        <v>92</v>
      </c>
      <c r="G279" s="5" t="s">
        <v>91</v>
      </c>
      <c r="H279" s="5" t="s">
        <v>61</v>
      </c>
      <c r="I279" s="5" t="s">
        <v>34</v>
      </c>
      <c r="J279" s="5" t="s">
        <v>29</v>
      </c>
      <c r="K279" s="5" t="s">
        <v>30</v>
      </c>
      <c r="L279" s="5" t="s">
        <v>31</v>
      </c>
      <c r="M279" s="5" t="s">
        <v>32</v>
      </c>
      <c r="N279" s="5" t="s">
        <v>33</v>
      </c>
    </row>
    <row r="280" spans="1:14" ht="15.75" customHeight="1" x14ac:dyDescent="0.2">
      <c r="A280" s="5" t="s">
        <v>36</v>
      </c>
      <c r="B280" s="5">
        <v>0</v>
      </c>
      <c r="C280" s="5">
        <v>0</v>
      </c>
      <c r="D280" s="5" t="s">
        <v>100</v>
      </c>
      <c r="E280" s="5" t="s">
        <v>93</v>
      </c>
      <c r="F280" s="5" t="s">
        <v>92</v>
      </c>
      <c r="G280" s="5" t="s">
        <v>90</v>
      </c>
      <c r="H280" s="5" t="s">
        <v>61</v>
      </c>
      <c r="I280" s="5" t="s">
        <v>36</v>
      </c>
      <c r="J280" s="5" t="s">
        <v>29</v>
      </c>
      <c r="K280" s="5" t="s">
        <v>30</v>
      </c>
      <c r="L280" s="5" t="s">
        <v>31</v>
      </c>
      <c r="M280" s="5" t="s">
        <v>32</v>
      </c>
      <c r="N280" s="5" t="s">
        <v>33</v>
      </c>
    </row>
    <row r="281" spans="1:14" ht="15.75" customHeight="1" x14ac:dyDescent="0.2">
      <c r="A281" s="5" t="s">
        <v>35</v>
      </c>
      <c r="B281" s="5">
        <v>0</v>
      </c>
      <c r="C281" s="5">
        <v>0</v>
      </c>
      <c r="D281" s="5" t="s">
        <v>100</v>
      </c>
      <c r="E281" s="5" t="s">
        <v>93</v>
      </c>
      <c r="F281" s="5" t="s">
        <v>92</v>
      </c>
      <c r="G281" s="5" t="s">
        <v>91</v>
      </c>
      <c r="H281" s="5" t="s">
        <v>61</v>
      </c>
      <c r="I281" s="5" t="s">
        <v>36</v>
      </c>
      <c r="J281" s="5" t="s">
        <v>29</v>
      </c>
      <c r="K281" s="5" t="s">
        <v>30</v>
      </c>
      <c r="L281" s="5" t="s">
        <v>31</v>
      </c>
      <c r="M281" s="5" t="s">
        <v>32</v>
      </c>
      <c r="N281" s="5" t="s">
        <v>33</v>
      </c>
    </row>
    <row r="282" spans="1:14" ht="15.75" customHeight="1" x14ac:dyDescent="0.2">
      <c r="A282" s="5" t="s">
        <v>37</v>
      </c>
      <c r="B282" s="5">
        <v>0</v>
      </c>
      <c r="C282" s="5">
        <v>0</v>
      </c>
      <c r="D282" s="5" t="s">
        <v>100</v>
      </c>
      <c r="E282" s="5" t="s">
        <v>93</v>
      </c>
      <c r="F282" s="5" t="s">
        <v>92</v>
      </c>
      <c r="G282" s="5" t="s">
        <v>90</v>
      </c>
      <c r="H282" s="5" t="s">
        <v>61</v>
      </c>
      <c r="I282" s="5" t="s">
        <v>37</v>
      </c>
      <c r="J282" s="5" t="s">
        <v>29</v>
      </c>
      <c r="K282" s="5" t="s">
        <v>30</v>
      </c>
      <c r="L282" s="5" t="s">
        <v>31</v>
      </c>
      <c r="M282" s="5" t="s">
        <v>32</v>
      </c>
      <c r="N282" s="5" t="s">
        <v>33</v>
      </c>
    </row>
    <row r="283" spans="1:14" ht="15.75" customHeight="1" x14ac:dyDescent="0.2">
      <c r="A283" s="5" t="s">
        <v>35</v>
      </c>
      <c r="B283" s="5">
        <v>0</v>
      </c>
      <c r="C283" s="5">
        <v>0</v>
      </c>
      <c r="D283" s="5" t="s">
        <v>100</v>
      </c>
      <c r="E283" s="5" t="s">
        <v>93</v>
      </c>
      <c r="F283" s="5" t="s">
        <v>92</v>
      </c>
      <c r="G283" s="5" t="s">
        <v>91</v>
      </c>
      <c r="H283" s="5" t="s">
        <v>61</v>
      </c>
      <c r="I283" s="5" t="s">
        <v>37</v>
      </c>
      <c r="J283" s="5" t="s">
        <v>29</v>
      </c>
      <c r="K283" s="5" t="s">
        <v>30</v>
      </c>
      <c r="L283" s="5" t="s">
        <v>31</v>
      </c>
      <c r="M283" s="5" t="s">
        <v>32</v>
      </c>
      <c r="N283" s="5" t="s">
        <v>33</v>
      </c>
    </row>
    <row r="284" spans="1:14" ht="15.75" customHeight="1" x14ac:dyDescent="0.2">
      <c r="A284" s="5" t="s">
        <v>38</v>
      </c>
      <c r="B284" s="5">
        <v>0</v>
      </c>
      <c r="C284" s="5">
        <v>0</v>
      </c>
      <c r="D284" s="5" t="s">
        <v>100</v>
      </c>
      <c r="E284" s="5" t="s">
        <v>93</v>
      </c>
      <c r="F284" s="5" t="s">
        <v>92</v>
      </c>
      <c r="G284" s="5" t="s">
        <v>90</v>
      </c>
      <c r="H284" s="5" t="s">
        <v>61</v>
      </c>
      <c r="I284" s="5" t="s">
        <v>38</v>
      </c>
      <c r="J284" s="5" t="s">
        <v>29</v>
      </c>
      <c r="K284" s="5" t="s">
        <v>30</v>
      </c>
      <c r="L284" s="5" t="s">
        <v>31</v>
      </c>
      <c r="M284" s="5" t="s">
        <v>32</v>
      </c>
      <c r="N284" s="5" t="s">
        <v>33</v>
      </c>
    </row>
    <row r="285" spans="1:14" ht="15.75" customHeight="1" x14ac:dyDescent="0.2">
      <c r="A285" s="5" t="s">
        <v>35</v>
      </c>
      <c r="B285" s="5">
        <v>0</v>
      </c>
      <c r="C285" s="5">
        <v>0</v>
      </c>
      <c r="D285" s="5" t="s">
        <v>100</v>
      </c>
      <c r="E285" s="5" t="s">
        <v>93</v>
      </c>
      <c r="F285" s="5" t="s">
        <v>92</v>
      </c>
      <c r="G285" s="5" t="s">
        <v>91</v>
      </c>
      <c r="H285" s="5" t="s">
        <v>61</v>
      </c>
      <c r="I285" s="5" t="s">
        <v>38</v>
      </c>
      <c r="J285" s="5" t="s">
        <v>29</v>
      </c>
      <c r="K285" s="5" t="s">
        <v>30</v>
      </c>
      <c r="L285" s="5" t="s">
        <v>31</v>
      </c>
      <c r="M285" s="5" t="s">
        <v>32</v>
      </c>
      <c r="N285" s="5" t="s">
        <v>33</v>
      </c>
    </row>
    <row r="286" spans="1:14" ht="15.75" customHeight="1" x14ac:dyDescent="0.2">
      <c r="A286" s="5" t="s">
        <v>39</v>
      </c>
      <c r="B286" s="5">
        <v>0</v>
      </c>
      <c r="C286" s="5">
        <v>0</v>
      </c>
      <c r="D286" s="5" t="s">
        <v>100</v>
      </c>
      <c r="E286" s="5" t="s">
        <v>93</v>
      </c>
      <c r="F286" s="5" t="s">
        <v>92</v>
      </c>
      <c r="G286" s="5" t="s">
        <v>90</v>
      </c>
      <c r="H286" s="5" t="s">
        <v>61</v>
      </c>
      <c r="I286" s="5" t="s">
        <v>39</v>
      </c>
      <c r="J286" s="5" t="s">
        <v>29</v>
      </c>
      <c r="K286" s="5" t="s">
        <v>30</v>
      </c>
      <c r="L286" s="5" t="s">
        <v>31</v>
      </c>
      <c r="M286" s="5" t="s">
        <v>32</v>
      </c>
      <c r="N286" s="5" t="s">
        <v>33</v>
      </c>
    </row>
    <row r="287" spans="1:14" ht="15.75" customHeight="1" x14ac:dyDescent="0.2">
      <c r="A287" s="5" t="s">
        <v>35</v>
      </c>
      <c r="B287" s="5">
        <v>0</v>
      </c>
      <c r="C287" s="5">
        <v>0</v>
      </c>
      <c r="D287" s="5" t="s">
        <v>100</v>
      </c>
      <c r="E287" s="5" t="s">
        <v>93</v>
      </c>
      <c r="F287" s="5" t="s">
        <v>92</v>
      </c>
      <c r="G287" s="5" t="s">
        <v>91</v>
      </c>
      <c r="H287" s="5" t="s">
        <v>61</v>
      </c>
      <c r="I287" s="5" t="s">
        <v>39</v>
      </c>
      <c r="J287" s="5" t="s">
        <v>29</v>
      </c>
      <c r="K287" s="5" t="s">
        <v>30</v>
      </c>
      <c r="L287" s="5" t="s">
        <v>31</v>
      </c>
      <c r="M287" s="5" t="s">
        <v>32</v>
      </c>
      <c r="N287" s="5" t="s">
        <v>33</v>
      </c>
    </row>
    <row r="288" spans="1:14" ht="15.75" customHeight="1" x14ac:dyDescent="0.2">
      <c r="A288" s="5" t="s">
        <v>40</v>
      </c>
      <c r="B288" s="5">
        <v>0</v>
      </c>
      <c r="C288" s="5">
        <v>0</v>
      </c>
      <c r="D288" s="5" t="s">
        <v>100</v>
      </c>
      <c r="E288" s="5" t="s">
        <v>93</v>
      </c>
      <c r="F288" s="5" t="s">
        <v>92</v>
      </c>
      <c r="G288" s="5" t="s">
        <v>90</v>
      </c>
      <c r="H288" s="5" t="s">
        <v>61</v>
      </c>
      <c r="I288" s="5" t="s">
        <v>40</v>
      </c>
      <c r="J288" s="5" t="s">
        <v>29</v>
      </c>
      <c r="K288" s="5" t="s">
        <v>30</v>
      </c>
      <c r="L288" s="5" t="s">
        <v>31</v>
      </c>
      <c r="M288" s="5" t="s">
        <v>32</v>
      </c>
      <c r="N288" s="5" t="s">
        <v>33</v>
      </c>
    </row>
    <row r="289" spans="1:14" ht="15.75" customHeight="1" x14ac:dyDescent="0.2">
      <c r="A289" s="5" t="s">
        <v>35</v>
      </c>
      <c r="B289" s="5">
        <v>0</v>
      </c>
      <c r="C289" s="5">
        <v>0</v>
      </c>
      <c r="D289" s="5" t="s">
        <v>100</v>
      </c>
      <c r="E289" s="5" t="s">
        <v>93</v>
      </c>
      <c r="F289" s="5" t="s">
        <v>92</v>
      </c>
      <c r="G289" s="5" t="s">
        <v>91</v>
      </c>
      <c r="H289" s="5" t="s">
        <v>61</v>
      </c>
      <c r="I289" s="5" t="s">
        <v>40</v>
      </c>
      <c r="J289" s="5" t="s">
        <v>29</v>
      </c>
      <c r="K289" s="5" t="s">
        <v>30</v>
      </c>
      <c r="L289" s="5" t="s">
        <v>31</v>
      </c>
      <c r="M289" s="5" t="s">
        <v>32</v>
      </c>
      <c r="N289" s="5" t="s">
        <v>33</v>
      </c>
    </row>
    <row r="290" spans="1:14" ht="15.75" customHeight="1" x14ac:dyDescent="0.2">
      <c r="A290" s="5" t="s">
        <v>41</v>
      </c>
      <c r="B290" s="5">
        <v>0</v>
      </c>
      <c r="C290" s="5">
        <v>0</v>
      </c>
      <c r="D290" s="5" t="s">
        <v>100</v>
      </c>
      <c r="E290" s="5" t="s">
        <v>93</v>
      </c>
      <c r="F290" s="5" t="s">
        <v>92</v>
      </c>
      <c r="G290" s="5" t="s">
        <v>90</v>
      </c>
      <c r="H290" s="5" t="s">
        <v>61</v>
      </c>
      <c r="I290" s="5" t="s">
        <v>41</v>
      </c>
      <c r="J290" s="5" t="s">
        <v>29</v>
      </c>
      <c r="K290" s="5" t="s">
        <v>30</v>
      </c>
      <c r="L290" s="5" t="s">
        <v>31</v>
      </c>
      <c r="M290" s="5" t="s">
        <v>32</v>
      </c>
      <c r="N290" s="5" t="s">
        <v>33</v>
      </c>
    </row>
    <row r="291" spans="1:14" ht="15.75" customHeight="1" x14ac:dyDescent="0.2">
      <c r="A291" s="5" t="s">
        <v>35</v>
      </c>
      <c r="B291" s="5">
        <v>0</v>
      </c>
      <c r="C291" s="5">
        <v>0</v>
      </c>
      <c r="D291" s="5" t="s">
        <v>100</v>
      </c>
      <c r="E291" s="5" t="s">
        <v>93</v>
      </c>
      <c r="F291" s="5" t="s">
        <v>92</v>
      </c>
      <c r="G291" s="5" t="s">
        <v>91</v>
      </c>
      <c r="H291" s="5" t="s">
        <v>61</v>
      </c>
      <c r="I291" s="5" t="s">
        <v>41</v>
      </c>
      <c r="J291" s="5" t="s">
        <v>29</v>
      </c>
      <c r="K291" s="5" t="s">
        <v>30</v>
      </c>
      <c r="L291" s="5" t="s">
        <v>31</v>
      </c>
      <c r="M291" s="5" t="s">
        <v>32</v>
      </c>
      <c r="N291" s="5" t="s">
        <v>33</v>
      </c>
    </row>
    <row r="292" spans="1:14" ht="15.75" customHeight="1" x14ac:dyDescent="0.2">
      <c r="A292" s="5" t="s">
        <v>42</v>
      </c>
      <c r="B292" s="5">
        <v>0</v>
      </c>
      <c r="C292" s="5">
        <v>0</v>
      </c>
      <c r="D292" s="5" t="s">
        <v>100</v>
      </c>
      <c r="E292" s="5" t="s">
        <v>93</v>
      </c>
      <c r="F292" s="5" t="s">
        <v>92</v>
      </c>
      <c r="G292" s="5" t="s">
        <v>90</v>
      </c>
      <c r="H292" s="5" t="s">
        <v>61</v>
      </c>
      <c r="I292" s="5" t="s">
        <v>42</v>
      </c>
      <c r="J292" s="5" t="s">
        <v>29</v>
      </c>
      <c r="K292" s="5" t="s">
        <v>30</v>
      </c>
      <c r="L292" s="5" t="s">
        <v>31</v>
      </c>
      <c r="M292" s="5" t="s">
        <v>32</v>
      </c>
      <c r="N292" s="5" t="s">
        <v>33</v>
      </c>
    </row>
    <row r="293" spans="1:14" ht="15.75" customHeight="1" x14ac:dyDescent="0.2">
      <c r="A293" s="5" t="s">
        <v>35</v>
      </c>
      <c r="B293" s="5">
        <v>0</v>
      </c>
      <c r="C293" s="5">
        <v>0</v>
      </c>
      <c r="D293" s="5" t="s">
        <v>100</v>
      </c>
      <c r="E293" s="5" t="s">
        <v>93</v>
      </c>
      <c r="F293" s="5" t="s">
        <v>92</v>
      </c>
      <c r="G293" s="5" t="s">
        <v>91</v>
      </c>
      <c r="H293" s="5" t="s">
        <v>61</v>
      </c>
      <c r="I293" s="5" t="s">
        <v>42</v>
      </c>
      <c r="J293" s="5" t="s">
        <v>29</v>
      </c>
      <c r="K293" s="5" t="s">
        <v>30</v>
      </c>
      <c r="L293" s="5" t="s">
        <v>31</v>
      </c>
      <c r="M293" s="5" t="s">
        <v>32</v>
      </c>
      <c r="N293" s="5" t="s">
        <v>33</v>
      </c>
    </row>
    <row r="294" spans="1:14" ht="15.75" customHeight="1" x14ac:dyDescent="0.2">
      <c r="A294" s="5" t="s">
        <v>43</v>
      </c>
      <c r="B294" s="5">
        <v>0</v>
      </c>
      <c r="C294" s="5">
        <v>0</v>
      </c>
      <c r="D294" s="5" t="s">
        <v>100</v>
      </c>
      <c r="E294" s="5" t="s">
        <v>93</v>
      </c>
      <c r="F294" s="5" t="s">
        <v>92</v>
      </c>
      <c r="G294" s="5" t="s">
        <v>90</v>
      </c>
      <c r="H294" s="5" t="s">
        <v>61</v>
      </c>
      <c r="I294" s="5" t="s">
        <v>43</v>
      </c>
      <c r="J294" s="5" t="s">
        <v>29</v>
      </c>
      <c r="K294" s="5" t="s">
        <v>30</v>
      </c>
      <c r="L294" s="5" t="s">
        <v>31</v>
      </c>
      <c r="M294" s="5" t="s">
        <v>32</v>
      </c>
      <c r="N294" s="5" t="s">
        <v>33</v>
      </c>
    </row>
    <row r="295" spans="1:14" ht="15.75" customHeight="1" x14ac:dyDescent="0.2">
      <c r="A295" s="5" t="s">
        <v>35</v>
      </c>
      <c r="B295" s="5">
        <v>0</v>
      </c>
      <c r="C295" s="5">
        <v>0</v>
      </c>
      <c r="D295" s="5" t="s">
        <v>100</v>
      </c>
      <c r="E295" s="5" t="s">
        <v>93</v>
      </c>
      <c r="F295" s="5" t="s">
        <v>92</v>
      </c>
      <c r="G295" s="5" t="s">
        <v>91</v>
      </c>
      <c r="H295" s="5" t="s">
        <v>61</v>
      </c>
      <c r="I295" s="5" t="s">
        <v>43</v>
      </c>
      <c r="J295" s="5" t="s">
        <v>29</v>
      </c>
      <c r="K295" s="5" t="s">
        <v>30</v>
      </c>
      <c r="L295" s="5" t="s">
        <v>31</v>
      </c>
      <c r="M295" s="5" t="s">
        <v>32</v>
      </c>
      <c r="N295" s="5" t="s">
        <v>33</v>
      </c>
    </row>
    <row r="296" spans="1:14" ht="15.75" customHeight="1" x14ac:dyDescent="0.2">
      <c r="A296" s="5" t="s">
        <v>44</v>
      </c>
      <c r="B296" s="5">
        <v>0</v>
      </c>
      <c r="C296" s="5">
        <v>0</v>
      </c>
      <c r="D296" s="5" t="s">
        <v>100</v>
      </c>
      <c r="E296" s="5" t="s">
        <v>93</v>
      </c>
      <c r="F296" s="5" t="s">
        <v>92</v>
      </c>
      <c r="G296" s="5" t="s">
        <v>90</v>
      </c>
      <c r="H296" s="5" t="s">
        <v>61</v>
      </c>
      <c r="I296" s="5" t="s">
        <v>44</v>
      </c>
      <c r="J296" s="5" t="s">
        <v>29</v>
      </c>
      <c r="K296" s="5" t="s">
        <v>30</v>
      </c>
      <c r="L296" s="5" t="s">
        <v>31</v>
      </c>
      <c r="M296" s="5" t="s">
        <v>32</v>
      </c>
      <c r="N296" s="5" t="s">
        <v>33</v>
      </c>
    </row>
    <row r="297" spans="1:14" ht="15.75" customHeight="1" x14ac:dyDescent="0.2">
      <c r="A297" s="5" t="s">
        <v>35</v>
      </c>
      <c r="B297" s="5">
        <v>0</v>
      </c>
      <c r="C297" s="5">
        <v>0</v>
      </c>
      <c r="D297" s="5" t="s">
        <v>100</v>
      </c>
      <c r="E297" s="5" t="s">
        <v>93</v>
      </c>
      <c r="F297" s="5" t="s">
        <v>92</v>
      </c>
      <c r="G297" s="5" t="s">
        <v>91</v>
      </c>
      <c r="H297" s="5" t="s">
        <v>61</v>
      </c>
      <c r="I297" s="5" t="s">
        <v>44</v>
      </c>
      <c r="J297" s="5" t="s">
        <v>29</v>
      </c>
      <c r="K297" s="5" t="s">
        <v>30</v>
      </c>
      <c r="L297" s="5" t="s">
        <v>31</v>
      </c>
      <c r="M297" s="5" t="s">
        <v>32</v>
      </c>
      <c r="N297" s="5" t="s">
        <v>33</v>
      </c>
    </row>
    <row r="298" spans="1:14" ht="15.75" customHeight="1" x14ac:dyDescent="0.2">
      <c r="A298" s="5" t="s">
        <v>45</v>
      </c>
      <c r="B298" s="5">
        <v>0</v>
      </c>
      <c r="C298" s="5">
        <v>0</v>
      </c>
      <c r="D298" s="5" t="s">
        <v>100</v>
      </c>
      <c r="E298" s="5" t="s">
        <v>93</v>
      </c>
      <c r="F298" s="5" t="s">
        <v>92</v>
      </c>
      <c r="G298" s="5" t="s">
        <v>90</v>
      </c>
      <c r="H298" s="5" t="s">
        <v>61</v>
      </c>
      <c r="I298" s="5" t="s">
        <v>45</v>
      </c>
      <c r="J298" s="5" t="s">
        <v>29</v>
      </c>
      <c r="K298" s="5" t="s">
        <v>30</v>
      </c>
      <c r="L298" s="5" t="s">
        <v>31</v>
      </c>
      <c r="M298" s="5" t="s">
        <v>32</v>
      </c>
      <c r="N298" s="5" t="s">
        <v>33</v>
      </c>
    </row>
    <row r="299" spans="1:14" ht="15.75" customHeight="1" x14ac:dyDescent="0.2">
      <c r="A299" s="5" t="s">
        <v>35</v>
      </c>
      <c r="B299" s="5">
        <v>0</v>
      </c>
      <c r="C299" s="5">
        <v>0</v>
      </c>
      <c r="D299" s="5" t="s">
        <v>100</v>
      </c>
      <c r="E299" s="5" t="s">
        <v>93</v>
      </c>
      <c r="F299" s="5" t="s">
        <v>92</v>
      </c>
      <c r="G299" s="5" t="s">
        <v>91</v>
      </c>
      <c r="H299" s="5" t="s">
        <v>61</v>
      </c>
      <c r="I299" s="5" t="s">
        <v>45</v>
      </c>
      <c r="J299" s="5" t="s">
        <v>29</v>
      </c>
      <c r="K299" s="5" t="s">
        <v>30</v>
      </c>
      <c r="L299" s="5" t="s">
        <v>31</v>
      </c>
      <c r="M299" s="5" t="s">
        <v>32</v>
      </c>
      <c r="N299" s="5" t="s">
        <v>33</v>
      </c>
    </row>
    <row r="300" spans="1:14" ht="15.75" customHeight="1" x14ac:dyDescent="0.2">
      <c r="A300" s="5" t="s">
        <v>46</v>
      </c>
      <c r="B300" s="5">
        <v>0</v>
      </c>
      <c r="C300" s="5">
        <v>0</v>
      </c>
      <c r="D300" s="5" t="s">
        <v>100</v>
      </c>
      <c r="E300" s="5" t="s">
        <v>93</v>
      </c>
      <c r="F300" s="5" t="s">
        <v>92</v>
      </c>
      <c r="G300" s="5" t="s">
        <v>90</v>
      </c>
      <c r="H300" s="5" t="s">
        <v>61</v>
      </c>
      <c r="I300" s="5" t="s">
        <v>46</v>
      </c>
      <c r="J300" s="5" t="s">
        <v>29</v>
      </c>
      <c r="K300" s="5" t="s">
        <v>30</v>
      </c>
      <c r="L300" s="5" t="s">
        <v>31</v>
      </c>
      <c r="M300" s="5" t="s">
        <v>32</v>
      </c>
      <c r="N300" s="5" t="s">
        <v>33</v>
      </c>
    </row>
    <row r="301" spans="1:14" ht="15.75" customHeight="1" x14ac:dyDescent="0.2">
      <c r="A301" s="5" t="s">
        <v>35</v>
      </c>
      <c r="B301" s="5">
        <v>0</v>
      </c>
      <c r="C301" s="5">
        <v>0</v>
      </c>
      <c r="D301" s="5" t="s">
        <v>100</v>
      </c>
      <c r="E301" s="5" t="s">
        <v>93</v>
      </c>
      <c r="F301" s="5" t="s">
        <v>92</v>
      </c>
      <c r="G301" s="5" t="s">
        <v>91</v>
      </c>
      <c r="H301" s="5" t="s">
        <v>61</v>
      </c>
      <c r="I301" s="5" t="s">
        <v>46</v>
      </c>
      <c r="J301" s="5" t="s">
        <v>29</v>
      </c>
      <c r="K301" s="5" t="s">
        <v>30</v>
      </c>
      <c r="L301" s="5" t="s">
        <v>31</v>
      </c>
      <c r="M301" s="5" t="s">
        <v>32</v>
      </c>
      <c r="N301" s="5" t="s">
        <v>33</v>
      </c>
    </row>
    <row r="302" spans="1:14" ht="15.75" customHeight="1" x14ac:dyDescent="0.2">
      <c r="A302" s="5" t="s">
        <v>87</v>
      </c>
      <c r="B302" s="5">
        <v>0</v>
      </c>
      <c r="C302" s="5">
        <v>0</v>
      </c>
      <c r="D302" s="5" t="s">
        <v>101</v>
      </c>
      <c r="E302" s="5" t="s">
        <v>93</v>
      </c>
      <c r="F302" s="5" t="s">
        <v>92</v>
      </c>
      <c r="G302" s="5" t="s">
        <v>89</v>
      </c>
      <c r="H302" s="5" t="s">
        <v>60</v>
      </c>
      <c r="I302" s="5" t="s">
        <v>87</v>
      </c>
      <c r="J302" s="5" t="s">
        <v>29</v>
      </c>
      <c r="K302" s="5" t="s">
        <v>30</v>
      </c>
      <c r="L302" s="5" t="s">
        <v>31</v>
      </c>
      <c r="M302" s="5" t="s">
        <v>32</v>
      </c>
      <c r="N302" s="5" t="s">
        <v>33</v>
      </c>
    </row>
    <row r="303" spans="1:14" ht="15.75" customHeight="1" x14ac:dyDescent="0.2">
      <c r="A303" s="5" t="s">
        <v>34</v>
      </c>
      <c r="B303" s="5">
        <v>0</v>
      </c>
      <c r="C303" s="5">
        <v>0</v>
      </c>
      <c r="D303" s="5" t="s">
        <v>101</v>
      </c>
      <c r="E303" s="5" t="s">
        <v>93</v>
      </c>
      <c r="F303" s="5" t="s">
        <v>92</v>
      </c>
      <c r="G303" s="5" t="s">
        <v>90</v>
      </c>
      <c r="H303" s="5" t="s">
        <v>60</v>
      </c>
      <c r="I303" s="5" t="s">
        <v>34</v>
      </c>
      <c r="J303" s="5" t="s">
        <v>29</v>
      </c>
      <c r="K303" s="5" t="s">
        <v>30</v>
      </c>
      <c r="L303" s="5" t="s">
        <v>31</v>
      </c>
      <c r="M303" s="5" t="s">
        <v>32</v>
      </c>
      <c r="N303" s="5" t="s">
        <v>33</v>
      </c>
    </row>
    <row r="304" spans="1:14" ht="15.75" customHeight="1" x14ac:dyDescent="0.2">
      <c r="A304" s="5" t="s">
        <v>35</v>
      </c>
      <c r="B304" s="5">
        <v>0</v>
      </c>
      <c r="C304" s="5">
        <v>0</v>
      </c>
      <c r="D304" s="5" t="s">
        <v>101</v>
      </c>
      <c r="E304" s="5" t="s">
        <v>93</v>
      </c>
      <c r="F304" s="5" t="s">
        <v>92</v>
      </c>
      <c r="G304" s="5" t="s">
        <v>91</v>
      </c>
      <c r="H304" s="5" t="s">
        <v>60</v>
      </c>
      <c r="I304" s="5" t="s">
        <v>34</v>
      </c>
      <c r="J304" s="5" t="s">
        <v>29</v>
      </c>
      <c r="K304" s="5" t="s">
        <v>30</v>
      </c>
      <c r="L304" s="5" t="s">
        <v>31</v>
      </c>
      <c r="M304" s="5" t="s">
        <v>32</v>
      </c>
      <c r="N304" s="5" t="s">
        <v>33</v>
      </c>
    </row>
    <row r="305" spans="1:14" ht="15.75" customHeight="1" x14ac:dyDescent="0.2">
      <c r="A305" s="5" t="s">
        <v>36</v>
      </c>
      <c r="B305" s="5">
        <v>0</v>
      </c>
      <c r="C305" s="5">
        <v>0</v>
      </c>
      <c r="D305" s="5" t="s">
        <v>101</v>
      </c>
      <c r="E305" s="5" t="s">
        <v>93</v>
      </c>
      <c r="F305" s="5" t="s">
        <v>92</v>
      </c>
      <c r="G305" s="5" t="s">
        <v>90</v>
      </c>
      <c r="H305" s="5" t="s">
        <v>60</v>
      </c>
      <c r="I305" s="5" t="s">
        <v>36</v>
      </c>
      <c r="J305" s="5" t="s">
        <v>29</v>
      </c>
      <c r="K305" s="5" t="s">
        <v>30</v>
      </c>
      <c r="L305" s="5" t="s">
        <v>31</v>
      </c>
      <c r="M305" s="5" t="s">
        <v>32</v>
      </c>
      <c r="N305" s="5" t="s">
        <v>33</v>
      </c>
    </row>
    <row r="306" spans="1:14" ht="15.75" customHeight="1" x14ac:dyDescent="0.2">
      <c r="A306" s="5" t="s">
        <v>35</v>
      </c>
      <c r="B306" s="5">
        <v>0</v>
      </c>
      <c r="C306" s="5">
        <v>0</v>
      </c>
      <c r="D306" s="5" t="s">
        <v>101</v>
      </c>
      <c r="E306" s="5" t="s">
        <v>93</v>
      </c>
      <c r="F306" s="5" t="s">
        <v>92</v>
      </c>
      <c r="G306" s="5" t="s">
        <v>91</v>
      </c>
      <c r="H306" s="5" t="s">
        <v>60</v>
      </c>
      <c r="I306" s="5" t="s">
        <v>36</v>
      </c>
      <c r="J306" s="5" t="s">
        <v>29</v>
      </c>
      <c r="K306" s="5" t="s">
        <v>30</v>
      </c>
      <c r="L306" s="5" t="s">
        <v>31</v>
      </c>
      <c r="M306" s="5" t="s">
        <v>32</v>
      </c>
      <c r="N306" s="5" t="s">
        <v>33</v>
      </c>
    </row>
    <row r="307" spans="1:14" ht="15.75" customHeight="1" x14ac:dyDescent="0.2">
      <c r="A307" s="5" t="s">
        <v>37</v>
      </c>
      <c r="B307" s="5">
        <v>0</v>
      </c>
      <c r="C307" s="5">
        <v>0</v>
      </c>
      <c r="D307" s="5" t="s">
        <v>101</v>
      </c>
      <c r="E307" s="5" t="s">
        <v>93</v>
      </c>
      <c r="F307" s="5" t="s">
        <v>92</v>
      </c>
      <c r="G307" s="5" t="s">
        <v>90</v>
      </c>
      <c r="H307" s="5" t="s">
        <v>60</v>
      </c>
      <c r="I307" s="5" t="s">
        <v>37</v>
      </c>
      <c r="J307" s="5" t="s">
        <v>29</v>
      </c>
      <c r="K307" s="5" t="s">
        <v>30</v>
      </c>
      <c r="L307" s="5" t="s">
        <v>31</v>
      </c>
      <c r="M307" s="5" t="s">
        <v>32</v>
      </c>
      <c r="N307" s="5" t="s">
        <v>33</v>
      </c>
    </row>
    <row r="308" spans="1:14" ht="15.75" customHeight="1" x14ac:dyDescent="0.2">
      <c r="A308" s="5" t="s">
        <v>35</v>
      </c>
      <c r="B308" s="5">
        <v>0</v>
      </c>
      <c r="C308" s="5">
        <v>0</v>
      </c>
      <c r="D308" s="5" t="s">
        <v>101</v>
      </c>
      <c r="E308" s="5" t="s">
        <v>93</v>
      </c>
      <c r="F308" s="5" t="s">
        <v>92</v>
      </c>
      <c r="G308" s="5" t="s">
        <v>91</v>
      </c>
      <c r="H308" s="5" t="s">
        <v>60</v>
      </c>
      <c r="I308" s="5" t="s">
        <v>37</v>
      </c>
      <c r="J308" s="5" t="s">
        <v>29</v>
      </c>
      <c r="K308" s="5" t="s">
        <v>30</v>
      </c>
      <c r="L308" s="5" t="s">
        <v>31</v>
      </c>
      <c r="M308" s="5" t="s">
        <v>32</v>
      </c>
      <c r="N308" s="5" t="s">
        <v>33</v>
      </c>
    </row>
    <row r="309" spans="1:14" ht="15.75" customHeight="1" x14ac:dyDescent="0.2">
      <c r="A309" s="5" t="s">
        <v>38</v>
      </c>
      <c r="B309" s="5">
        <v>0</v>
      </c>
      <c r="C309" s="5">
        <v>0</v>
      </c>
      <c r="D309" s="5" t="s">
        <v>101</v>
      </c>
      <c r="E309" s="5" t="s">
        <v>93</v>
      </c>
      <c r="F309" s="5" t="s">
        <v>92</v>
      </c>
      <c r="G309" s="5" t="s">
        <v>90</v>
      </c>
      <c r="H309" s="5" t="s">
        <v>60</v>
      </c>
      <c r="I309" s="5" t="s">
        <v>38</v>
      </c>
      <c r="J309" s="5" t="s">
        <v>29</v>
      </c>
      <c r="K309" s="5" t="s">
        <v>30</v>
      </c>
      <c r="L309" s="5" t="s">
        <v>31</v>
      </c>
      <c r="M309" s="5" t="s">
        <v>32</v>
      </c>
      <c r="N309" s="5" t="s">
        <v>33</v>
      </c>
    </row>
    <row r="310" spans="1:14" ht="15.75" customHeight="1" x14ac:dyDescent="0.2">
      <c r="A310" s="5" t="s">
        <v>35</v>
      </c>
      <c r="B310" s="5">
        <v>0</v>
      </c>
      <c r="C310" s="5">
        <v>0</v>
      </c>
      <c r="D310" s="5" t="s">
        <v>101</v>
      </c>
      <c r="E310" s="5" t="s">
        <v>93</v>
      </c>
      <c r="F310" s="5" t="s">
        <v>92</v>
      </c>
      <c r="G310" s="5" t="s">
        <v>91</v>
      </c>
      <c r="H310" s="5" t="s">
        <v>60</v>
      </c>
      <c r="I310" s="5" t="s">
        <v>38</v>
      </c>
      <c r="J310" s="5" t="s">
        <v>29</v>
      </c>
      <c r="K310" s="5" t="s">
        <v>30</v>
      </c>
      <c r="L310" s="5" t="s">
        <v>31</v>
      </c>
      <c r="M310" s="5" t="s">
        <v>32</v>
      </c>
      <c r="N310" s="5" t="s">
        <v>33</v>
      </c>
    </row>
    <row r="311" spans="1:14" ht="15.75" customHeight="1" x14ac:dyDescent="0.2">
      <c r="A311" s="5" t="s">
        <v>39</v>
      </c>
      <c r="B311" s="5">
        <v>0</v>
      </c>
      <c r="C311" s="5">
        <v>0</v>
      </c>
      <c r="D311" s="5" t="s">
        <v>101</v>
      </c>
      <c r="E311" s="5" t="s">
        <v>93</v>
      </c>
      <c r="F311" s="5" t="s">
        <v>92</v>
      </c>
      <c r="G311" s="5" t="s">
        <v>90</v>
      </c>
      <c r="H311" s="5" t="s">
        <v>60</v>
      </c>
      <c r="I311" s="5" t="s">
        <v>39</v>
      </c>
      <c r="J311" s="5" t="s">
        <v>29</v>
      </c>
      <c r="K311" s="5" t="s">
        <v>30</v>
      </c>
      <c r="L311" s="5" t="s">
        <v>31</v>
      </c>
      <c r="M311" s="5" t="s">
        <v>32</v>
      </c>
      <c r="N311" s="5" t="s">
        <v>33</v>
      </c>
    </row>
    <row r="312" spans="1:14" ht="15.75" customHeight="1" x14ac:dyDescent="0.2">
      <c r="A312" s="5" t="s">
        <v>35</v>
      </c>
      <c r="B312" s="5">
        <v>0</v>
      </c>
      <c r="C312" s="5">
        <v>0</v>
      </c>
      <c r="D312" s="5" t="s">
        <v>101</v>
      </c>
      <c r="E312" s="5" t="s">
        <v>93</v>
      </c>
      <c r="F312" s="5" t="s">
        <v>92</v>
      </c>
      <c r="G312" s="5" t="s">
        <v>91</v>
      </c>
      <c r="H312" s="5" t="s">
        <v>60</v>
      </c>
      <c r="I312" s="5" t="s">
        <v>39</v>
      </c>
      <c r="J312" s="5" t="s">
        <v>29</v>
      </c>
      <c r="K312" s="5" t="s">
        <v>30</v>
      </c>
      <c r="L312" s="5" t="s">
        <v>31</v>
      </c>
      <c r="M312" s="5" t="s">
        <v>32</v>
      </c>
      <c r="N312" s="5" t="s">
        <v>33</v>
      </c>
    </row>
    <row r="313" spans="1:14" ht="15.75" customHeight="1" x14ac:dyDescent="0.2">
      <c r="A313" s="5" t="s">
        <v>40</v>
      </c>
      <c r="B313" s="5">
        <v>0</v>
      </c>
      <c r="C313" s="5">
        <v>0</v>
      </c>
      <c r="D313" s="5" t="s">
        <v>101</v>
      </c>
      <c r="E313" s="5" t="s">
        <v>93</v>
      </c>
      <c r="F313" s="5" t="s">
        <v>92</v>
      </c>
      <c r="G313" s="5" t="s">
        <v>90</v>
      </c>
      <c r="H313" s="5" t="s">
        <v>60</v>
      </c>
      <c r="I313" s="5" t="s">
        <v>40</v>
      </c>
      <c r="J313" s="5" t="s">
        <v>29</v>
      </c>
      <c r="K313" s="5" t="s">
        <v>30</v>
      </c>
      <c r="L313" s="5" t="s">
        <v>31</v>
      </c>
      <c r="M313" s="5" t="s">
        <v>32</v>
      </c>
      <c r="N313" s="5" t="s">
        <v>33</v>
      </c>
    </row>
    <row r="314" spans="1:14" ht="15.75" customHeight="1" x14ac:dyDescent="0.2">
      <c r="A314" s="5" t="s">
        <v>35</v>
      </c>
      <c r="B314" s="5">
        <v>0</v>
      </c>
      <c r="C314" s="5">
        <v>0</v>
      </c>
      <c r="D314" s="5" t="s">
        <v>101</v>
      </c>
      <c r="E314" s="5" t="s">
        <v>93</v>
      </c>
      <c r="F314" s="5" t="s">
        <v>92</v>
      </c>
      <c r="G314" s="5" t="s">
        <v>91</v>
      </c>
      <c r="H314" s="5" t="s">
        <v>60</v>
      </c>
      <c r="I314" s="5" t="s">
        <v>40</v>
      </c>
      <c r="J314" s="5" t="s">
        <v>29</v>
      </c>
      <c r="K314" s="5" t="s">
        <v>30</v>
      </c>
      <c r="L314" s="5" t="s">
        <v>31</v>
      </c>
      <c r="M314" s="5" t="s">
        <v>32</v>
      </c>
      <c r="N314" s="5" t="s">
        <v>33</v>
      </c>
    </row>
    <row r="315" spans="1:14" ht="15.75" customHeight="1" x14ac:dyDescent="0.2">
      <c r="A315" s="5" t="s">
        <v>41</v>
      </c>
      <c r="B315" s="5">
        <v>0</v>
      </c>
      <c r="C315" s="5">
        <v>0</v>
      </c>
      <c r="D315" s="5" t="s">
        <v>101</v>
      </c>
      <c r="E315" s="5" t="s">
        <v>93</v>
      </c>
      <c r="F315" s="5" t="s">
        <v>92</v>
      </c>
      <c r="G315" s="5" t="s">
        <v>90</v>
      </c>
      <c r="H315" s="5" t="s">
        <v>60</v>
      </c>
      <c r="I315" s="5" t="s">
        <v>41</v>
      </c>
      <c r="J315" s="5" t="s">
        <v>29</v>
      </c>
      <c r="K315" s="5" t="s">
        <v>30</v>
      </c>
      <c r="L315" s="5" t="s">
        <v>31</v>
      </c>
      <c r="M315" s="5" t="s">
        <v>32</v>
      </c>
      <c r="N315" s="5" t="s">
        <v>33</v>
      </c>
    </row>
    <row r="316" spans="1:14" ht="15.75" customHeight="1" x14ac:dyDescent="0.2">
      <c r="A316" s="5" t="s">
        <v>35</v>
      </c>
      <c r="B316" s="5">
        <v>0</v>
      </c>
      <c r="C316" s="5">
        <v>0</v>
      </c>
      <c r="D316" s="5" t="s">
        <v>101</v>
      </c>
      <c r="E316" s="5" t="s">
        <v>93</v>
      </c>
      <c r="F316" s="5" t="s">
        <v>92</v>
      </c>
      <c r="G316" s="5" t="s">
        <v>91</v>
      </c>
      <c r="H316" s="5" t="s">
        <v>60</v>
      </c>
      <c r="I316" s="5" t="s">
        <v>41</v>
      </c>
      <c r="J316" s="5" t="s">
        <v>29</v>
      </c>
      <c r="K316" s="5" t="s">
        <v>30</v>
      </c>
      <c r="L316" s="5" t="s">
        <v>31</v>
      </c>
      <c r="M316" s="5" t="s">
        <v>32</v>
      </c>
      <c r="N316" s="5" t="s">
        <v>33</v>
      </c>
    </row>
    <row r="317" spans="1:14" ht="15.75" customHeight="1" x14ac:dyDescent="0.2">
      <c r="A317" s="5" t="s">
        <v>42</v>
      </c>
      <c r="B317" s="5">
        <v>0</v>
      </c>
      <c r="C317" s="5">
        <v>0</v>
      </c>
      <c r="D317" s="5" t="s">
        <v>101</v>
      </c>
      <c r="E317" s="5" t="s">
        <v>93</v>
      </c>
      <c r="F317" s="5" t="s">
        <v>92</v>
      </c>
      <c r="G317" s="5" t="s">
        <v>90</v>
      </c>
      <c r="H317" s="5" t="s">
        <v>60</v>
      </c>
      <c r="I317" s="5" t="s">
        <v>42</v>
      </c>
      <c r="J317" s="5" t="s">
        <v>29</v>
      </c>
      <c r="K317" s="5" t="s">
        <v>30</v>
      </c>
      <c r="L317" s="5" t="s">
        <v>31</v>
      </c>
      <c r="M317" s="5" t="s">
        <v>32</v>
      </c>
      <c r="N317" s="5" t="s">
        <v>33</v>
      </c>
    </row>
    <row r="318" spans="1:14" ht="15.75" customHeight="1" x14ac:dyDescent="0.2">
      <c r="A318" s="5" t="s">
        <v>35</v>
      </c>
      <c r="B318" s="5">
        <v>0</v>
      </c>
      <c r="C318" s="5">
        <v>0</v>
      </c>
      <c r="D318" s="5" t="s">
        <v>101</v>
      </c>
      <c r="E318" s="5" t="s">
        <v>93</v>
      </c>
      <c r="F318" s="5" t="s">
        <v>92</v>
      </c>
      <c r="G318" s="5" t="s">
        <v>91</v>
      </c>
      <c r="H318" s="5" t="s">
        <v>60</v>
      </c>
      <c r="I318" s="5" t="s">
        <v>42</v>
      </c>
      <c r="J318" s="5" t="s">
        <v>29</v>
      </c>
      <c r="K318" s="5" t="s">
        <v>30</v>
      </c>
      <c r="L318" s="5" t="s">
        <v>31</v>
      </c>
      <c r="M318" s="5" t="s">
        <v>32</v>
      </c>
      <c r="N318" s="5" t="s">
        <v>33</v>
      </c>
    </row>
    <row r="319" spans="1:14" ht="15.75" customHeight="1" x14ac:dyDescent="0.2">
      <c r="A319" s="5" t="s">
        <v>43</v>
      </c>
      <c r="B319" s="5">
        <v>0</v>
      </c>
      <c r="C319" s="5">
        <v>0</v>
      </c>
      <c r="D319" s="5" t="s">
        <v>101</v>
      </c>
      <c r="E319" s="5" t="s">
        <v>93</v>
      </c>
      <c r="F319" s="5" t="s">
        <v>92</v>
      </c>
      <c r="G319" s="5" t="s">
        <v>90</v>
      </c>
      <c r="H319" s="5" t="s">
        <v>60</v>
      </c>
      <c r="I319" s="5" t="s">
        <v>43</v>
      </c>
      <c r="J319" s="5" t="s">
        <v>29</v>
      </c>
      <c r="K319" s="5" t="s">
        <v>30</v>
      </c>
      <c r="L319" s="5" t="s">
        <v>31</v>
      </c>
      <c r="M319" s="5" t="s">
        <v>32</v>
      </c>
      <c r="N319" s="5" t="s">
        <v>33</v>
      </c>
    </row>
    <row r="320" spans="1:14" ht="15.75" customHeight="1" x14ac:dyDescent="0.2">
      <c r="A320" s="5" t="s">
        <v>35</v>
      </c>
      <c r="B320" s="5">
        <v>0</v>
      </c>
      <c r="C320" s="5">
        <v>0</v>
      </c>
      <c r="D320" s="5" t="s">
        <v>101</v>
      </c>
      <c r="E320" s="5" t="s">
        <v>93</v>
      </c>
      <c r="F320" s="5" t="s">
        <v>92</v>
      </c>
      <c r="G320" s="5" t="s">
        <v>91</v>
      </c>
      <c r="H320" s="5" t="s">
        <v>60</v>
      </c>
      <c r="I320" s="5" t="s">
        <v>43</v>
      </c>
      <c r="J320" s="5" t="s">
        <v>29</v>
      </c>
      <c r="K320" s="5" t="s">
        <v>30</v>
      </c>
      <c r="L320" s="5" t="s">
        <v>31</v>
      </c>
      <c r="M320" s="5" t="s">
        <v>32</v>
      </c>
      <c r="N320" s="5" t="s">
        <v>33</v>
      </c>
    </row>
    <row r="321" spans="1:14" ht="15.75" customHeight="1" x14ac:dyDescent="0.2">
      <c r="A321" s="5" t="s">
        <v>44</v>
      </c>
      <c r="B321" s="5">
        <v>0</v>
      </c>
      <c r="C321" s="5">
        <v>0</v>
      </c>
      <c r="D321" s="5" t="s">
        <v>101</v>
      </c>
      <c r="E321" s="5" t="s">
        <v>93</v>
      </c>
      <c r="F321" s="5" t="s">
        <v>92</v>
      </c>
      <c r="G321" s="5" t="s">
        <v>90</v>
      </c>
      <c r="H321" s="5" t="s">
        <v>60</v>
      </c>
      <c r="I321" s="5" t="s">
        <v>44</v>
      </c>
      <c r="J321" s="5" t="s">
        <v>29</v>
      </c>
      <c r="K321" s="5" t="s">
        <v>30</v>
      </c>
      <c r="L321" s="5" t="s">
        <v>31</v>
      </c>
      <c r="M321" s="5" t="s">
        <v>32</v>
      </c>
      <c r="N321" s="5" t="s">
        <v>33</v>
      </c>
    </row>
    <row r="322" spans="1:14" ht="15.75" customHeight="1" x14ac:dyDescent="0.2">
      <c r="A322" s="5" t="s">
        <v>35</v>
      </c>
      <c r="B322" s="5">
        <v>0</v>
      </c>
      <c r="C322" s="5">
        <v>0</v>
      </c>
      <c r="D322" s="5" t="s">
        <v>101</v>
      </c>
      <c r="E322" s="5" t="s">
        <v>93</v>
      </c>
      <c r="F322" s="5" t="s">
        <v>92</v>
      </c>
      <c r="G322" s="5" t="s">
        <v>91</v>
      </c>
      <c r="H322" s="5" t="s">
        <v>60</v>
      </c>
      <c r="I322" s="5" t="s">
        <v>44</v>
      </c>
      <c r="J322" s="5" t="s">
        <v>29</v>
      </c>
      <c r="K322" s="5" t="s">
        <v>30</v>
      </c>
      <c r="L322" s="5" t="s">
        <v>31</v>
      </c>
      <c r="M322" s="5" t="s">
        <v>32</v>
      </c>
      <c r="N322" s="5" t="s">
        <v>33</v>
      </c>
    </row>
    <row r="323" spans="1:14" ht="15.75" customHeight="1" x14ac:dyDescent="0.2">
      <c r="A323" s="5" t="s">
        <v>45</v>
      </c>
      <c r="B323" s="5">
        <v>0</v>
      </c>
      <c r="C323" s="5">
        <v>0</v>
      </c>
      <c r="D323" s="5" t="s">
        <v>101</v>
      </c>
      <c r="E323" s="5" t="s">
        <v>93</v>
      </c>
      <c r="F323" s="5" t="s">
        <v>92</v>
      </c>
      <c r="G323" s="5" t="s">
        <v>90</v>
      </c>
      <c r="H323" s="5" t="s">
        <v>60</v>
      </c>
      <c r="I323" s="5" t="s">
        <v>45</v>
      </c>
      <c r="J323" s="5" t="s">
        <v>29</v>
      </c>
      <c r="K323" s="5" t="s">
        <v>30</v>
      </c>
      <c r="L323" s="5" t="s">
        <v>31</v>
      </c>
      <c r="M323" s="5" t="s">
        <v>32</v>
      </c>
      <c r="N323" s="5" t="s">
        <v>33</v>
      </c>
    </row>
    <row r="324" spans="1:14" ht="15.75" customHeight="1" x14ac:dyDescent="0.2">
      <c r="A324" s="5" t="s">
        <v>35</v>
      </c>
      <c r="B324" s="5">
        <v>0</v>
      </c>
      <c r="C324" s="5">
        <v>0</v>
      </c>
      <c r="D324" s="5" t="s">
        <v>101</v>
      </c>
      <c r="E324" s="5" t="s">
        <v>93</v>
      </c>
      <c r="F324" s="5" t="s">
        <v>92</v>
      </c>
      <c r="G324" s="5" t="s">
        <v>91</v>
      </c>
      <c r="H324" s="5" t="s">
        <v>60</v>
      </c>
      <c r="I324" s="5" t="s">
        <v>45</v>
      </c>
      <c r="J324" s="5" t="s">
        <v>29</v>
      </c>
      <c r="K324" s="5" t="s">
        <v>30</v>
      </c>
      <c r="L324" s="5" t="s">
        <v>31</v>
      </c>
      <c r="M324" s="5" t="s">
        <v>32</v>
      </c>
      <c r="N324" s="5" t="s">
        <v>33</v>
      </c>
    </row>
    <row r="325" spans="1:14" ht="15.75" customHeight="1" x14ac:dyDescent="0.2">
      <c r="A325" s="5" t="s">
        <v>46</v>
      </c>
      <c r="B325" s="5">
        <v>0</v>
      </c>
      <c r="C325" s="5">
        <v>0</v>
      </c>
      <c r="D325" s="5" t="s">
        <v>101</v>
      </c>
      <c r="E325" s="5" t="s">
        <v>93</v>
      </c>
      <c r="F325" s="5" t="s">
        <v>92</v>
      </c>
      <c r="G325" s="5" t="s">
        <v>90</v>
      </c>
      <c r="H325" s="5" t="s">
        <v>60</v>
      </c>
      <c r="I325" s="5" t="s">
        <v>46</v>
      </c>
      <c r="J325" s="5" t="s">
        <v>29</v>
      </c>
      <c r="K325" s="5" t="s">
        <v>30</v>
      </c>
      <c r="L325" s="5" t="s">
        <v>31</v>
      </c>
      <c r="M325" s="5" t="s">
        <v>32</v>
      </c>
      <c r="N325" s="5" t="s">
        <v>33</v>
      </c>
    </row>
    <row r="326" spans="1:14" ht="15.75" customHeight="1" x14ac:dyDescent="0.2">
      <c r="A326" s="5" t="s">
        <v>35</v>
      </c>
      <c r="B326" s="5">
        <v>0</v>
      </c>
      <c r="C326" s="5">
        <v>0</v>
      </c>
      <c r="D326" s="5" t="s">
        <v>101</v>
      </c>
      <c r="E326" s="5" t="s">
        <v>93</v>
      </c>
      <c r="F326" s="5" t="s">
        <v>92</v>
      </c>
      <c r="G326" s="5" t="s">
        <v>91</v>
      </c>
      <c r="H326" s="5" t="s">
        <v>60</v>
      </c>
      <c r="I326" s="5" t="s">
        <v>46</v>
      </c>
      <c r="J326" s="5" t="s">
        <v>29</v>
      </c>
      <c r="K326" s="5" t="s">
        <v>30</v>
      </c>
      <c r="L326" s="5" t="s">
        <v>31</v>
      </c>
      <c r="M326" s="5" t="s">
        <v>32</v>
      </c>
      <c r="N326" s="5" t="s">
        <v>33</v>
      </c>
    </row>
    <row r="327" spans="1:14" ht="15.75" customHeight="1" x14ac:dyDescent="0.2">
      <c r="A327" s="5" t="s">
        <v>87</v>
      </c>
      <c r="B327" s="5">
        <v>1</v>
      </c>
      <c r="C327" s="5">
        <v>47.52</v>
      </c>
      <c r="D327" s="5" t="s">
        <v>102</v>
      </c>
      <c r="E327" s="5" t="s">
        <v>93</v>
      </c>
      <c r="F327" s="5" t="s">
        <v>92</v>
      </c>
      <c r="G327" s="5" t="s">
        <v>89</v>
      </c>
      <c r="H327" s="5" t="s">
        <v>61</v>
      </c>
      <c r="I327" s="5" t="s">
        <v>87</v>
      </c>
      <c r="J327" s="5" t="s">
        <v>29</v>
      </c>
      <c r="K327" s="5" t="s">
        <v>30</v>
      </c>
      <c r="L327" s="5" t="s">
        <v>31</v>
      </c>
      <c r="M327" s="5" t="s">
        <v>32</v>
      </c>
      <c r="N327" s="5" t="s">
        <v>33</v>
      </c>
    </row>
    <row r="328" spans="1:14" ht="15.75" customHeight="1" x14ac:dyDescent="0.2">
      <c r="A328" s="5" t="s">
        <v>34</v>
      </c>
      <c r="B328" s="5">
        <v>0</v>
      </c>
      <c r="C328" s="5">
        <v>0</v>
      </c>
      <c r="D328" s="5" t="s">
        <v>102</v>
      </c>
      <c r="E328" s="5" t="s">
        <v>93</v>
      </c>
      <c r="F328" s="5" t="s">
        <v>92</v>
      </c>
      <c r="G328" s="5" t="s">
        <v>90</v>
      </c>
      <c r="H328" s="5" t="s">
        <v>61</v>
      </c>
      <c r="I328" s="5" t="s">
        <v>34</v>
      </c>
      <c r="J328" s="5" t="s">
        <v>29</v>
      </c>
      <c r="K328" s="5" t="s">
        <v>30</v>
      </c>
      <c r="L328" s="5" t="s">
        <v>31</v>
      </c>
      <c r="M328" s="5" t="s">
        <v>32</v>
      </c>
      <c r="N328" s="5" t="s">
        <v>33</v>
      </c>
    </row>
    <row r="329" spans="1:14" ht="15.75" customHeight="1" x14ac:dyDescent="0.2">
      <c r="A329" s="5" t="s">
        <v>35</v>
      </c>
      <c r="B329" s="5">
        <v>0</v>
      </c>
      <c r="C329" s="5">
        <v>0</v>
      </c>
      <c r="D329" s="5" t="s">
        <v>102</v>
      </c>
      <c r="E329" s="5" t="s">
        <v>93</v>
      </c>
      <c r="F329" s="5" t="s">
        <v>92</v>
      </c>
      <c r="G329" s="5" t="s">
        <v>91</v>
      </c>
      <c r="H329" s="5" t="s">
        <v>61</v>
      </c>
      <c r="I329" s="5" t="s">
        <v>34</v>
      </c>
      <c r="J329" s="5" t="s">
        <v>29</v>
      </c>
      <c r="K329" s="5" t="s">
        <v>30</v>
      </c>
      <c r="L329" s="5" t="s">
        <v>31</v>
      </c>
      <c r="M329" s="5" t="s">
        <v>32</v>
      </c>
      <c r="N329" s="5" t="s">
        <v>33</v>
      </c>
    </row>
    <row r="330" spans="1:14" ht="15.75" customHeight="1" x14ac:dyDescent="0.2">
      <c r="A330" s="5" t="s">
        <v>36</v>
      </c>
      <c r="B330" s="5">
        <v>1</v>
      </c>
      <c r="C330" s="5">
        <v>47.52</v>
      </c>
      <c r="D330" s="5" t="s">
        <v>102</v>
      </c>
      <c r="E330" s="5" t="s">
        <v>93</v>
      </c>
      <c r="F330" s="5" t="s">
        <v>92</v>
      </c>
      <c r="G330" s="5" t="s">
        <v>90</v>
      </c>
      <c r="H330" s="5" t="s">
        <v>61</v>
      </c>
      <c r="I330" s="5" t="s">
        <v>36</v>
      </c>
      <c r="J330" s="5" t="s">
        <v>29</v>
      </c>
      <c r="K330" s="5" t="s">
        <v>30</v>
      </c>
      <c r="L330" s="5" t="s">
        <v>31</v>
      </c>
      <c r="M330" s="5" t="s">
        <v>32</v>
      </c>
      <c r="N330" s="5" t="s">
        <v>33</v>
      </c>
    </row>
    <row r="331" spans="1:14" ht="15.75" customHeight="1" x14ac:dyDescent="0.2">
      <c r="A331" s="5" t="s">
        <v>35</v>
      </c>
      <c r="B331" s="5">
        <v>1</v>
      </c>
      <c r="C331" s="5">
        <v>47.52</v>
      </c>
      <c r="D331" s="5" t="s">
        <v>102</v>
      </c>
      <c r="E331" s="5" t="s">
        <v>93</v>
      </c>
      <c r="F331" s="5" t="s">
        <v>92</v>
      </c>
      <c r="G331" s="5" t="s">
        <v>91</v>
      </c>
      <c r="H331" s="5" t="s">
        <v>61</v>
      </c>
      <c r="I331" s="5" t="s">
        <v>36</v>
      </c>
      <c r="J331" s="5" t="s">
        <v>29</v>
      </c>
      <c r="K331" s="5" t="s">
        <v>30</v>
      </c>
      <c r="L331" s="5" t="s">
        <v>31</v>
      </c>
      <c r="M331" s="5" t="s">
        <v>32</v>
      </c>
      <c r="N331" s="5" t="s">
        <v>33</v>
      </c>
    </row>
    <row r="332" spans="1:14" ht="15.75" customHeight="1" x14ac:dyDescent="0.2">
      <c r="A332" s="5" t="s">
        <v>37</v>
      </c>
      <c r="B332" s="5">
        <v>0</v>
      </c>
      <c r="C332" s="5">
        <v>0</v>
      </c>
      <c r="D332" s="5" t="s">
        <v>102</v>
      </c>
      <c r="E332" s="5" t="s">
        <v>93</v>
      </c>
      <c r="F332" s="5" t="s">
        <v>92</v>
      </c>
      <c r="G332" s="5" t="s">
        <v>90</v>
      </c>
      <c r="H332" s="5" t="s">
        <v>61</v>
      </c>
      <c r="I332" s="5" t="s">
        <v>37</v>
      </c>
      <c r="J332" s="5" t="s">
        <v>29</v>
      </c>
      <c r="K332" s="5" t="s">
        <v>30</v>
      </c>
      <c r="L332" s="5" t="s">
        <v>31</v>
      </c>
      <c r="M332" s="5" t="s">
        <v>32</v>
      </c>
      <c r="N332" s="5" t="s">
        <v>33</v>
      </c>
    </row>
    <row r="333" spans="1:14" ht="15.75" customHeight="1" x14ac:dyDescent="0.2">
      <c r="A333" s="5" t="s">
        <v>35</v>
      </c>
      <c r="B333" s="5">
        <v>0</v>
      </c>
      <c r="C333" s="5">
        <v>0</v>
      </c>
      <c r="D333" s="5" t="s">
        <v>102</v>
      </c>
      <c r="E333" s="5" t="s">
        <v>93</v>
      </c>
      <c r="F333" s="5" t="s">
        <v>92</v>
      </c>
      <c r="G333" s="5" t="s">
        <v>91</v>
      </c>
      <c r="H333" s="5" t="s">
        <v>61</v>
      </c>
      <c r="I333" s="5" t="s">
        <v>37</v>
      </c>
      <c r="J333" s="5" t="s">
        <v>29</v>
      </c>
      <c r="K333" s="5" t="s">
        <v>30</v>
      </c>
      <c r="L333" s="5" t="s">
        <v>31</v>
      </c>
      <c r="M333" s="5" t="s">
        <v>32</v>
      </c>
      <c r="N333" s="5" t="s">
        <v>33</v>
      </c>
    </row>
    <row r="334" spans="1:14" ht="15.75" customHeight="1" x14ac:dyDescent="0.2">
      <c r="A334" s="5" t="s">
        <v>38</v>
      </c>
      <c r="B334" s="5">
        <v>0</v>
      </c>
      <c r="C334" s="5">
        <v>0</v>
      </c>
      <c r="D334" s="5" t="s">
        <v>102</v>
      </c>
      <c r="E334" s="5" t="s">
        <v>93</v>
      </c>
      <c r="F334" s="5" t="s">
        <v>92</v>
      </c>
      <c r="G334" s="5" t="s">
        <v>90</v>
      </c>
      <c r="H334" s="5" t="s">
        <v>61</v>
      </c>
      <c r="I334" s="5" t="s">
        <v>38</v>
      </c>
      <c r="J334" s="5" t="s">
        <v>29</v>
      </c>
      <c r="K334" s="5" t="s">
        <v>30</v>
      </c>
      <c r="L334" s="5" t="s">
        <v>31</v>
      </c>
      <c r="M334" s="5" t="s">
        <v>32</v>
      </c>
      <c r="N334" s="5" t="s">
        <v>33</v>
      </c>
    </row>
    <row r="335" spans="1:14" ht="15.75" customHeight="1" x14ac:dyDescent="0.2">
      <c r="A335" s="5" t="s">
        <v>35</v>
      </c>
      <c r="B335" s="5">
        <v>0</v>
      </c>
      <c r="C335" s="5">
        <v>0</v>
      </c>
      <c r="D335" s="5" t="s">
        <v>102</v>
      </c>
      <c r="E335" s="5" t="s">
        <v>93</v>
      </c>
      <c r="F335" s="5" t="s">
        <v>92</v>
      </c>
      <c r="G335" s="5" t="s">
        <v>91</v>
      </c>
      <c r="H335" s="5" t="s">
        <v>61</v>
      </c>
      <c r="I335" s="5" t="s">
        <v>38</v>
      </c>
      <c r="J335" s="5" t="s">
        <v>29</v>
      </c>
      <c r="K335" s="5" t="s">
        <v>30</v>
      </c>
      <c r="L335" s="5" t="s">
        <v>31</v>
      </c>
      <c r="M335" s="5" t="s">
        <v>32</v>
      </c>
      <c r="N335" s="5" t="s">
        <v>33</v>
      </c>
    </row>
    <row r="336" spans="1:14" ht="15.75" customHeight="1" x14ac:dyDescent="0.2">
      <c r="A336" s="5" t="s">
        <v>39</v>
      </c>
      <c r="B336" s="5">
        <v>0</v>
      </c>
      <c r="C336" s="5">
        <v>0</v>
      </c>
      <c r="D336" s="5" t="s">
        <v>102</v>
      </c>
      <c r="E336" s="5" t="s">
        <v>93</v>
      </c>
      <c r="F336" s="5" t="s">
        <v>92</v>
      </c>
      <c r="G336" s="5" t="s">
        <v>90</v>
      </c>
      <c r="H336" s="5" t="s">
        <v>61</v>
      </c>
      <c r="I336" s="5" t="s">
        <v>39</v>
      </c>
      <c r="J336" s="5" t="s">
        <v>29</v>
      </c>
      <c r="K336" s="5" t="s">
        <v>30</v>
      </c>
      <c r="L336" s="5" t="s">
        <v>31</v>
      </c>
      <c r="M336" s="5" t="s">
        <v>32</v>
      </c>
      <c r="N336" s="5" t="s">
        <v>33</v>
      </c>
    </row>
    <row r="337" spans="1:14" ht="15.75" customHeight="1" x14ac:dyDescent="0.2">
      <c r="A337" s="5" t="s">
        <v>35</v>
      </c>
      <c r="B337" s="5">
        <v>0</v>
      </c>
      <c r="C337" s="5">
        <v>0</v>
      </c>
      <c r="D337" s="5" t="s">
        <v>102</v>
      </c>
      <c r="E337" s="5" t="s">
        <v>93</v>
      </c>
      <c r="F337" s="5" t="s">
        <v>92</v>
      </c>
      <c r="G337" s="5" t="s">
        <v>91</v>
      </c>
      <c r="H337" s="5" t="s">
        <v>61</v>
      </c>
      <c r="I337" s="5" t="s">
        <v>39</v>
      </c>
      <c r="J337" s="5" t="s">
        <v>29</v>
      </c>
      <c r="K337" s="5" t="s">
        <v>30</v>
      </c>
      <c r="L337" s="5" t="s">
        <v>31</v>
      </c>
      <c r="M337" s="5" t="s">
        <v>32</v>
      </c>
      <c r="N337" s="5" t="s">
        <v>33</v>
      </c>
    </row>
    <row r="338" spans="1:14" ht="15.75" customHeight="1" x14ac:dyDescent="0.2">
      <c r="A338" s="5" t="s">
        <v>40</v>
      </c>
      <c r="B338" s="5">
        <v>0</v>
      </c>
      <c r="C338" s="5">
        <v>0</v>
      </c>
      <c r="D338" s="5" t="s">
        <v>102</v>
      </c>
      <c r="E338" s="5" t="s">
        <v>93</v>
      </c>
      <c r="F338" s="5" t="s">
        <v>92</v>
      </c>
      <c r="G338" s="5" t="s">
        <v>90</v>
      </c>
      <c r="H338" s="5" t="s">
        <v>61</v>
      </c>
      <c r="I338" s="5" t="s">
        <v>40</v>
      </c>
      <c r="J338" s="5" t="s">
        <v>29</v>
      </c>
      <c r="K338" s="5" t="s">
        <v>30</v>
      </c>
      <c r="L338" s="5" t="s">
        <v>31</v>
      </c>
      <c r="M338" s="5" t="s">
        <v>32</v>
      </c>
      <c r="N338" s="5" t="s">
        <v>33</v>
      </c>
    </row>
    <row r="339" spans="1:14" ht="15.75" customHeight="1" x14ac:dyDescent="0.2">
      <c r="A339" s="5" t="s">
        <v>35</v>
      </c>
      <c r="B339" s="5">
        <v>0</v>
      </c>
      <c r="C339" s="5">
        <v>0</v>
      </c>
      <c r="D339" s="5" t="s">
        <v>102</v>
      </c>
      <c r="E339" s="5" t="s">
        <v>93</v>
      </c>
      <c r="F339" s="5" t="s">
        <v>92</v>
      </c>
      <c r="G339" s="5" t="s">
        <v>91</v>
      </c>
      <c r="H339" s="5" t="s">
        <v>61</v>
      </c>
      <c r="I339" s="5" t="s">
        <v>40</v>
      </c>
      <c r="J339" s="5" t="s">
        <v>29</v>
      </c>
      <c r="K339" s="5" t="s">
        <v>30</v>
      </c>
      <c r="L339" s="5" t="s">
        <v>31</v>
      </c>
      <c r="M339" s="5" t="s">
        <v>32</v>
      </c>
      <c r="N339" s="5" t="s">
        <v>33</v>
      </c>
    </row>
    <row r="340" spans="1:14" ht="15.75" customHeight="1" x14ac:dyDescent="0.2">
      <c r="A340" s="5" t="s">
        <v>41</v>
      </c>
      <c r="B340" s="5">
        <v>0</v>
      </c>
      <c r="C340" s="5">
        <v>0</v>
      </c>
      <c r="D340" s="5" t="s">
        <v>102</v>
      </c>
      <c r="E340" s="5" t="s">
        <v>93</v>
      </c>
      <c r="F340" s="5" t="s">
        <v>92</v>
      </c>
      <c r="G340" s="5" t="s">
        <v>90</v>
      </c>
      <c r="H340" s="5" t="s">
        <v>61</v>
      </c>
      <c r="I340" s="5" t="s">
        <v>41</v>
      </c>
      <c r="J340" s="5" t="s">
        <v>29</v>
      </c>
      <c r="K340" s="5" t="s">
        <v>30</v>
      </c>
      <c r="L340" s="5" t="s">
        <v>31</v>
      </c>
      <c r="M340" s="5" t="s">
        <v>32</v>
      </c>
      <c r="N340" s="5" t="s">
        <v>33</v>
      </c>
    </row>
    <row r="341" spans="1:14" ht="15.75" customHeight="1" x14ac:dyDescent="0.2">
      <c r="A341" s="5" t="s">
        <v>35</v>
      </c>
      <c r="B341" s="5">
        <v>0</v>
      </c>
      <c r="C341" s="5">
        <v>0</v>
      </c>
      <c r="D341" s="5" t="s">
        <v>102</v>
      </c>
      <c r="E341" s="5" t="s">
        <v>93</v>
      </c>
      <c r="F341" s="5" t="s">
        <v>92</v>
      </c>
      <c r="G341" s="5" t="s">
        <v>91</v>
      </c>
      <c r="H341" s="5" t="s">
        <v>61</v>
      </c>
      <c r="I341" s="5" t="s">
        <v>41</v>
      </c>
      <c r="J341" s="5" t="s">
        <v>29</v>
      </c>
      <c r="K341" s="5" t="s">
        <v>30</v>
      </c>
      <c r="L341" s="5" t="s">
        <v>31</v>
      </c>
      <c r="M341" s="5" t="s">
        <v>32</v>
      </c>
      <c r="N341" s="5" t="s">
        <v>33</v>
      </c>
    </row>
    <row r="342" spans="1:14" ht="15.75" customHeight="1" x14ac:dyDescent="0.2">
      <c r="A342" s="5" t="s">
        <v>42</v>
      </c>
      <c r="B342" s="5">
        <v>0</v>
      </c>
      <c r="C342" s="5">
        <v>0</v>
      </c>
      <c r="D342" s="5" t="s">
        <v>102</v>
      </c>
      <c r="E342" s="5" t="s">
        <v>93</v>
      </c>
      <c r="F342" s="5" t="s">
        <v>92</v>
      </c>
      <c r="G342" s="5" t="s">
        <v>90</v>
      </c>
      <c r="H342" s="5" t="s">
        <v>61</v>
      </c>
      <c r="I342" s="5" t="s">
        <v>42</v>
      </c>
      <c r="J342" s="5" t="s">
        <v>29</v>
      </c>
      <c r="K342" s="5" t="s">
        <v>30</v>
      </c>
      <c r="L342" s="5" t="s">
        <v>31</v>
      </c>
      <c r="M342" s="5" t="s">
        <v>32</v>
      </c>
      <c r="N342" s="5" t="s">
        <v>33</v>
      </c>
    </row>
    <row r="343" spans="1:14" ht="15.75" customHeight="1" x14ac:dyDescent="0.2">
      <c r="A343" s="5" t="s">
        <v>35</v>
      </c>
      <c r="B343" s="5">
        <v>0</v>
      </c>
      <c r="C343" s="5">
        <v>0</v>
      </c>
      <c r="D343" s="5" t="s">
        <v>102</v>
      </c>
      <c r="E343" s="5" t="s">
        <v>93</v>
      </c>
      <c r="F343" s="5" t="s">
        <v>92</v>
      </c>
      <c r="G343" s="5" t="s">
        <v>91</v>
      </c>
      <c r="H343" s="5" t="s">
        <v>61</v>
      </c>
      <c r="I343" s="5" t="s">
        <v>42</v>
      </c>
      <c r="J343" s="5" t="s">
        <v>29</v>
      </c>
      <c r="K343" s="5" t="s">
        <v>30</v>
      </c>
      <c r="L343" s="5" t="s">
        <v>31</v>
      </c>
      <c r="M343" s="5" t="s">
        <v>32</v>
      </c>
      <c r="N343" s="5" t="s">
        <v>33</v>
      </c>
    </row>
    <row r="344" spans="1:14" ht="15.75" customHeight="1" x14ac:dyDescent="0.2">
      <c r="A344" s="5" t="s">
        <v>43</v>
      </c>
      <c r="B344" s="5">
        <v>0</v>
      </c>
      <c r="C344" s="5">
        <v>0</v>
      </c>
      <c r="D344" s="5" t="s">
        <v>102</v>
      </c>
      <c r="E344" s="5" t="s">
        <v>93</v>
      </c>
      <c r="F344" s="5" t="s">
        <v>92</v>
      </c>
      <c r="G344" s="5" t="s">
        <v>90</v>
      </c>
      <c r="H344" s="5" t="s">
        <v>61</v>
      </c>
      <c r="I344" s="5" t="s">
        <v>43</v>
      </c>
      <c r="J344" s="5" t="s">
        <v>29</v>
      </c>
      <c r="K344" s="5" t="s">
        <v>30</v>
      </c>
      <c r="L344" s="5" t="s">
        <v>31</v>
      </c>
      <c r="M344" s="5" t="s">
        <v>32</v>
      </c>
      <c r="N344" s="5" t="s">
        <v>33</v>
      </c>
    </row>
    <row r="345" spans="1:14" ht="15.75" customHeight="1" x14ac:dyDescent="0.2">
      <c r="A345" s="5" t="s">
        <v>35</v>
      </c>
      <c r="B345" s="5">
        <v>0</v>
      </c>
      <c r="C345" s="5">
        <v>0</v>
      </c>
      <c r="D345" s="5" t="s">
        <v>102</v>
      </c>
      <c r="E345" s="5" t="s">
        <v>93</v>
      </c>
      <c r="F345" s="5" t="s">
        <v>92</v>
      </c>
      <c r="G345" s="5" t="s">
        <v>91</v>
      </c>
      <c r="H345" s="5" t="s">
        <v>61</v>
      </c>
      <c r="I345" s="5" t="s">
        <v>43</v>
      </c>
      <c r="J345" s="5" t="s">
        <v>29</v>
      </c>
      <c r="K345" s="5" t="s">
        <v>30</v>
      </c>
      <c r="L345" s="5" t="s">
        <v>31</v>
      </c>
      <c r="M345" s="5" t="s">
        <v>32</v>
      </c>
      <c r="N345" s="5" t="s">
        <v>33</v>
      </c>
    </row>
    <row r="346" spans="1:14" ht="15.75" customHeight="1" x14ac:dyDescent="0.2">
      <c r="A346" s="5" t="s">
        <v>44</v>
      </c>
      <c r="B346" s="5">
        <v>0</v>
      </c>
      <c r="C346" s="5">
        <v>0</v>
      </c>
      <c r="D346" s="5" t="s">
        <v>102</v>
      </c>
      <c r="E346" s="5" t="s">
        <v>93</v>
      </c>
      <c r="F346" s="5" t="s">
        <v>92</v>
      </c>
      <c r="G346" s="5" t="s">
        <v>90</v>
      </c>
      <c r="H346" s="5" t="s">
        <v>61</v>
      </c>
      <c r="I346" s="5" t="s">
        <v>44</v>
      </c>
      <c r="J346" s="5" t="s">
        <v>29</v>
      </c>
      <c r="K346" s="5" t="s">
        <v>30</v>
      </c>
      <c r="L346" s="5" t="s">
        <v>31</v>
      </c>
      <c r="M346" s="5" t="s">
        <v>32</v>
      </c>
      <c r="N346" s="5" t="s">
        <v>33</v>
      </c>
    </row>
    <row r="347" spans="1:14" ht="15.75" customHeight="1" x14ac:dyDescent="0.2">
      <c r="A347" s="5" t="s">
        <v>35</v>
      </c>
      <c r="B347" s="5">
        <v>0</v>
      </c>
      <c r="C347" s="5">
        <v>0</v>
      </c>
      <c r="D347" s="5" t="s">
        <v>102</v>
      </c>
      <c r="E347" s="5" t="s">
        <v>93</v>
      </c>
      <c r="F347" s="5" t="s">
        <v>92</v>
      </c>
      <c r="G347" s="5" t="s">
        <v>91</v>
      </c>
      <c r="H347" s="5" t="s">
        <v>61</v>
      </c>
      <c r="I347" s="5" t="s">
        <v>44</v>
      </c>
      <c r="J347" s="5" t="s">
        <v>29</v>
      </c>
      <c r="K347" s="5" t="s">
        <v>30</v>
      </c>
      <c r="L347" s="5" t="s">
        <v>31</v>
      </c>
      <c r="M347" s="5" t="s">
        <v>32</v>
      </c>
      <c r="N347" s="5" t="s">
        <v>33</v>
      </c>
    </row>
    <row r="348" spans="1:14" ht="15.75" customHeight="1" x14ac:dyDescent="0.2">
      <c r="A348" s="5" t="s">
        <v>45</v>
      </c>
      <c r="B348" s="5">
        <v>0</v>
      </c>
      <c r="C348" s="5">
        <v>0</v>
      </c>
      <c r="D348" s="5" t="s">
        <v>102</v>
      </c>
      <c r="E348" s="5" t="s">
        <v>93</v>
      </c>
      <c r="F348" s="5" t="s">
        <v>92</v>
      </c>
      <c r="G348" s="5" t="s">
        <v>90</v>
      </c>
      <c r="H348" s="5" t="s">
        <v>61</v>
      </c>
      <c r="I348" s="5" t="s">
        <v>45</v>
      </c>
      <c r="J348" s="5" t="s">
        <v>29</v>
      </c>
      <c r="K348" s="5" t="s">
        <v>30</v>
      </c>
      <c r="L348" s="5" t="s">
        <v>31</v>
      </c>
      <c r="M348" s="5" t="s">
        <v>32</v>
      </c>
      <c r="N348" s="5" t="s">
        <v>33</v>
      </c>
    </row>
    <row r="349" spans="1:14" ht="15.75" customHeight="1" x14ac:dyDescent="0.2">
      <c r="A349" s="5" t="s">
        <v>35</v>
      </c>
      <c r="B349" s="5">
        <v>0</v>
      </c>
      <c r="C349" s="5">
        <v>0</v>
      </c>
      <c r="D349" s="5" t="s">
        <v>102</v>
      </c>
      <c r="E349" s="5" t="s">
        <v>93</v>
      </c>
      <c r="F349" s="5" t="s">
        <v>92</v>
      </c>
      <c r="G349" s="5" t="s">
        <v>91</v>
      </c>
      <c r="H349" s="5" t="s">
        <v>61</v>
      </c>
      <c r="I349" s="5" t="s">
        <v>45</v>
      </c>
      <c r="J349" s="5" t="s">
        <v>29</v>
      </c>
      <c r="K349" s="5" t="s">
        <v>30</v>
      </c>
      <c r="L349" s="5" t="s">
        <v>31</v>
      </c>
      <c r="M349" s="5" t="s">
        <v>32</v>
      </c>
      <c r="N349" s="5" t="s">
        <v>33</v>
      </c>
    </row>
    <row r="350" spans="1:14" ht="15.75" customHeight="1" x14ac:dyDescent="0.2">
      <c r="A350" s="5" t="s">
        <v>46</v>
      </c>
      <c r="B350" s="5">
        <v>0</v>
      </c>
      <c r="C350" s="5">
        <v>0</v>
      </c>
      <c r="D350" s="5" t="s">
        <v>102</v>
      </c>
      <c r="E350" s="5" t="s">
        <v>93</v>
      </c>
      <c r="F350" s="5" t="s">
        <v>92</v>
      </c>
      <c r="G350" s="5" t="s">
        <v>90</v>
      </c>
      <c r="H350" s="5" t="s">
        <v>61</v>
      </c>
      <c r="I350" s="5" t="s">
        <v>46</v>
      </c>
      <c r="J350" s="5" t="s">
        <v>29</v>
      </c>
      <c r="K350" s="5" t="s">
        <v>30</v>
      </c>
      <c r="L350" s="5" t="s">
        <v>31</v>
      </c>
      <c r="M350" s="5" t="s">
        <v>32</v>
      </c>
      <c r="N350" s="5" t="s">
        <v>33</v>
      </c>
    </row>
    <row r="351" spans="1:14" ht="15.75" customHeight="1" x14ac:dyDescent="0.2">
      <c r="A351" s="5" t="s">
        <v>35</v>
      </c>
      <c r="B351" s="5">
        <v>0</v>
      </c>
      <c r="C351" s="5">
        <v>0</v>
      </c>
      <c r="D351" s="5" t="s">
        <v>102</v>
      </c>
      <c r="E351" s="5" t="s">
        <v>93</v>
      </c>
      <c r="F351" s="5" t="s">
        <v>92</v>
      </c>
      <c r="G351" s="5" t="s">
        <v>91</v>
      </c>
      <c r="H351" s="5" t="s">
        <v>61</v>
      </c>
      <c r="I351" s="5" t="s">
        <v>46</v>
      </c>
      <c r="J351" s="5" t="s">
        <v>29</v>
      </c>
      <c r="K351" s="5" t="s">
        <v>30</v>
      </c>
      <c r="L351" s="5" t="s">
        <v>31</v>
      </c>
      <c r="M351" s="5" t="s">
        <v>32</v>
      </c>
      <c r="N351" s="5" t="s">
        <v>33</v>
      </c>
    </row>
    <row r="352" spans="1:14" ht="15.75" customHeight="1" x14ac:dyDescent="0.2">
      <c r="A352" s="5" t="s">
        <v>87</v>
      </c>
      <c r="B352" s="5">
        <v>34</v>
      </c>
      <c r="C352" s="5">
        <v>1450.01</v>
      </c>
      <c r="D352" s="5" t="s">
        <v>103</v>
      </c>
      <c r="E352" s="5" t="s">
        <v>104</v>
      </c>
      <c r="F352" s="5" t="s">
        <v>92</v>
      </c>
      <c r="G352" s="5" t="s">
        <v>89</v>
      </c>
      <c r="H352" s="5" t="s">
        <v>61</v>
      </c>
      <c r="I352" s="5" t="s">
        <v>87</v>
      </c>
      <c r="J352" s="5" t="s">
        <v>29</v>
      </c>
      <c r="K352" s="5" t="s">
        <v>30</v>
      </c>
      <c r="L352" s="5" t="s">
        <v>31</v>
      </c>
      <c r="M352" s="5" t="s">
        <v>32</v>
      </c>
      <c r="N352" s="5" t="s">
        <v>33</v>
      </c>
    </row>
    <row r="353" spans="1:14" ht="15.75" customHeight="1" x14ac:dyDescent="0.2">
      <c r="A353" s="5" t="s">
        <v>34</v>
      </c>
      <c r="B353" s="5">
        <v>7</v>
      </c>
      <c r="C353" s="5">
        <v>254.2</v>
      </c>
      <c r="D353" s="5" t="s">
        <v>103</v>
      </c>
      <c r="E353" s="5" t="s">
        <v>104</v>
      </c>
      <c r="F353" s="5" t="s">
        <v>92</v>
      </c>
      <c r="G353" s="5" t="s">
        <v>90</v>
      </c>
      <c r="H353" s="5" t="s">
        <v>61</v>
      </c>
      <c r="I353" s="5" t="s">
        <v>34</v>
      </c>
      <c r="J353" s="5" t="s">
        <v>29</v>
      </c>
      <c r="K353" s="5" t="s">
        <v>30</v>
      </c>
      <c r="L353" s="5" t="s">
        <v>31</v>
      </c>
      <c r="M353" s="5" t="s">
        <v>32</v>
      </c>
      <c r="N353" s="5" t="s">
        <v>33</v>
      </c>
    </row>
    <row r="354" spans="1:14" ht="15.75" customHeight="1" x14ac:dyDescent="0.2">
      <c r="A354" s="5" t="s">
        <v>35</v>
      </c>
      <c r="B354" s="5">
        <v>7</v>
      </c>
      <c r="C354" s="5">
        <v>254.2</v>
      </c>
      <c r="D354" s="5" t="s">
        <v>103</v>
      </c>
      <c r="E354" s="5" t="s">
        <v>104</v>
      </c>
      <c r="F354" s="5" t="s">
        <v>92</v>
      </c>
      <c r="G354" s="5" t="s">
        <v>91</v>
      </c>
      <c r="H354" s="5" t="s">
        <v>61</v>
      </c>
      <c r="I354" s="5" t="s">
        <v>34</v>
      </c>
      <c r="J354" s="5" t="s">
        <v>29</v>
      </c>
      <c r="K354" s="5" t="s">
        <v>30</v>
      </c>
      <c r="L354" s="5" t="s">
        <v>31</v>
      </c>
      <c r="M354" s="5" t="s">
        <v>32</v>
      </c>
      <c r="N354" s="5" t="s">
        <v>33</v>
      </c>
    </row>
    <row r="355" spans="1:14" ht="15.75" customHeight="1" x14ac:dyDescent="0.2">
      <c r="A355" s="5" t="s">
        <v>36</v>
      </c>
      <c r="B355" s="5">
        <v>15</v>
      </c>
      <c r="C355" s="5">
        <v>629.39</v>
      </c>
      <c r="D355" s="5" t="s">
        <v>103</v>
      </c>
      <c r="E355" s="5" t="s">
        <v>104</v>
      </c>
      <c r="F355" s="5" t="s">
        <v>92</v>
      </c>
      <c r="G355" s="5" t="s">
        <v>90</v>
      </c>
      <c r="H355" s="5" t="s">
        <v>61</v>
      </c>
      <c r="I355" s="5" t="s">
        <v>36</v>
      </c>
      <c r="J355" s="5" t="s">
        <v>29</v>
      </c>
      <c r="K355" s="5" t="s">
        <v>30</v>
      </c>
      <c r="L355" s="5" t="s">
        <v>31</v>
      </c>
      <c r="M355" s="5" t="s">
        <v>32</v>
      </c>
      <c r="N355" s="5" t="s">
        <v>33</v>
      </c>
    </row>
    <row r="356" spans="1:14" ht="15.75" customHeight="1" x14ac:dyDescent="0.2">
      <c r="A356" s="5" t="s">
        <v>35</v>
      </c>
      <c r="B356" s="5">
        <v>15</v>
      </c>
      <c r="C356" s="5">
        <v>629.39</v>
      </c>
      <c r="D356" s="5" t="s">
        <v>103</v>
      </c>
      <c r="E356" s="5" t="s">
        <v>104</v>
      </c>
      <c r="F356" s="5" t="s">
        <v>92</v>
      </c>
      <c r="G356" s="5" t="s">
        <v>91</v>
      </c>
      <c r="H356" s="5" t="s">
        <v>61</v>
      </c>
      <c r="I356" s="5" t="s">
        <v>36</v>
      </c>
      <c r="J356" s="5" t="s">
        <v>29</v>
      </c>
      <c r="K356" s="5" t="s">
        <v>30</v>
      </c>
      <c r="L356" s="5" t="s">
        <v>31</v>
      </c>
      <c r="M356" s="5" t="s">
        <v>32</v>
      </c>
      <c r="N356" s="5" t="s">
        <v>33</v>
      </c>
    </row>
    <row r="357" spans="1:14" ht="15.75" customHeight="1" x14ac:dyDescent="0.2">
      <c r="A357" s="5" t="s">
        <v>37</v>
      </c>
      <c r="B357" s="5">
        <v>3</v>
      </c>
      <c r="C357" s="5">
        <v>200</v>
      </c>
      <c r="D357" s="5" t="s">
        <v>103</v>
      </c>
      <c r="E357" s="5" t="s">
        <v>104</v>
      </c>
      <c r="F357" s="5" t="s">
        <v>92</v>
      </c>
      <c r="G357" s="5" t="s">
        <v>90</v>
      </c>
      <c r="H357" s="5" t="s">
        <v>61</v>
      </c>
      <c r="I357" s="5" t="s">
        <v>37</v>
      </c>
      <c r="J357" s="5" t="s">
        <v>29</v>
      </c>
      <c r="K357" s="5" t="s">
        <v>30</v>
      </c>
      <c r="L357" s="5" t="s">
        <v>31</v>
      </c>
      <c r="M357" s="5" t="s">
        <v>32</v>
      </c>
      <c r="N357" s="5" t="s">
        <v>33</v>
      </c>
    </row>
    <row r="358" spans="1:14" ht="15.75" customHeight="1" x14ac:dyDescent="0.2">
      <c r="A358" s="5" t="s">
        <v>35</v>
      </c>
      <c r="B358" s="5">
        <v>3</v>
      </c>
      <c r="C358" s="5">
        <v>200</v>
      </c>
      <c r="D358" s="5" t="s">
        <v>103</v>
      </c>
      <c r="E358" s="5" t="s">
        <v>104</v>
      </c>
      <c r="F358" s="5" t="s">
        <v>92</v>
      </c>
      <c r="G358" s="5" t="s">
        <v>91</v>
      </c>
      <c r="H358" s="5" t="s">
        <v>61</v>
      </c>
      <c r="I358" s="5" t="s">
        <v>37</v>
      </c>
      <c r="J358" s="5" t="s">
        <v>29</v>
      </c>
      <c r="K358" s="5" t="s">
        <v>30</v>
      </c>
      <c r="L358" s="5" t="s">
        <v>31</v>
      </c>
      <c r="M358" s="5" t="s">
        <v>32</v>
      </c>
      <c r="N358" s="5" t="s">
        <v>33</v>
      </c>
    </row>
    <row r="359" spans="1:14" ht="15.75" customHeight="1" x14ac:dyDescent="0.2">
      <c r="A359" s="5" t="s">
        <v>38</v>
      </c>
      <c r="B359" s="5">
        <v>0</v>
      </c>
      <c r="C359" s="5">
        <v>0</v>
      </c>
      <c r="D359" s="5" t="s">
        <v>103</v>
      </c>
      <c r="E359" s="5" t="s">
        <v>104</v>
      </c>
      <c r="F359" s="5" t="s">
        <v>92</v>
      </c>
      <c r="G359" s="5" t="s">
        <v>90</v>
      </c>
      <c r="H359" s="5" t="s">
        <v>61</v>
      </c>
      <c r="I359" s="5" t="s">
        <v>38</v>
      </c>
      <c r="J359" s="5" t="s">
        <v>29</v>
      </c>
      <c r="K359" s="5" t="s">
        <v>30</v>
      </c>
      <c r="L359" s="5" t="s">
        <v>31</v>
      </c>
      <c r="M359" s="5" t="s">
        <v>32</v>
      </c>
      <c r="N359" s="5" t="s">
        <v>33</v>
      </c>
    </row>
    <row r="360" spans="1:14" ht="15.75" customHeight="1" x14ac:dyDescent="0.2">
      <c r="A360" s="5" t="s">
        <v>35</v>
      </c>
      <c r="B360" s="5">
        <v>0</v>
      </c>
      <c r="C360" s="5">
        <v>0</v>
      </c>
      <c r="D360" s="5" t="s">
        <v>103</v>
      </c>
      <c r="E360" s="5" t="s">
        <v>104</v>
      </c>
      <c r="F360" s="5" t="s">
        <v>92</v>
      </c>
      <c r="G360" s="5" t="s">
        <v>91</v>
      </c>
      <c r="H360" s="5" t="s">
        <v>61</v>
      </c>
      <c r="I360" s="5" t="s">
        <v>38</v>
      </c>
      <c r="J360" s="5" t="s">
        <v>29</v>
      </c>
      <c r="K360" s="5" t="s">
        <v>30</v>
      </c>
      <c r="L360" s="5" t="s">
        <v>31</v>
      </c>
      <c r="M360" s="5" t="s">
        <v>32</v>
      </c>
      <c r="N360" s="5" t="s">
        <v>33</v>
      </c>
    </row>
    <row r="361" spans="1:14" ht="15.75" customHeight="1" x14ac:dyDescent="0.2">
      <c r="A361" s="5" t="s">
        <v>39</v>
      </c>
      <c r="B361" s="5">
        <v>0</v>
      </c>
      <c r="C361" s="5">
        <v>0</v>
      </c>
      <c r="D361" s="5" t="s">
        <v>103</v>
      </c>
      <c r="E361" s="5" t="s">
        <v>104</v>
      </c>
      <c r="F361" s="5" t="s">
        <v>92</v>
      </c>
      <c r="G361" s="5" t="s">
        <v>90</v>
      </c>
      <c r="H361" s="5" t="s">
        <v>61</v>
      </c>
      <c r="I361" s="5" t="s">
        <v>39</v>
      </c>
      <c r="J361" s="5" t="s">
        <v>29</v>
      </c>
      <c r="K361" s="5" t="s">
        <v>30</v>
      </c>
      <c r="L361" s="5" t="s">
        <v>31</v>
      </c>
      <c r="M361" s="5" t="s">
        <v>32</v>
      </c>
      <c r="N361" s="5" t="s">
        <v>33</v>
      </c>
    </row>
    <row r="362" spans="1:14" ht="15.75" customHeight="1" x14ac:dyDescent="0.2">
      <c r="A362" s="5" t="s">
        <v>35</v>
      </c>
      <c r="B362" s="5">
        <v>0</v>
      </c>
      <c r="C362" s="5">
        <v>0</v>
      </c>
      <c r="D362" s="5" t="s">
        <v>103</v>
      </c>
      <c r="E362" s="5" t="s">
        <v>104</v>
      </c>
      <c r="F362" s="5" t="s">
        <v>92</v>
      </c>
      <c r="G362" s="5" t="s">
        <v>91</v>
      </c>
      <c r="H362" s="5" t="s">
        <v>61</v>
      </c>
      <c r="I362" s="5" t="s">
        <v>39</v>
      </c>
      <c r="J362" s="5" t="s">
        <v>29</v>
      </c>
      <c r="K362" s="5" t="s">
        <v>30</v>
      </c>
      <c r="L362" s="5" t="s">
        <v>31</v>
      </c>
      <c r="M362" s="5" t="s">
        <v>32</v>
      </c>
      <c r="N362" s="5" t="s">
        <v>33</v>
      </c>
    </row>
    <row r="363" spans="1:14" ht="15.75" customHeight="1" x14ac:dyDescent="0.2">
      <c r="A363" s="5" t="s">
        <v>40</v>
      </c>
      <c r="B363" s="5">
        <v>1</v>
      </c>
      <c r="C363" s="5">
        <v>55.2</v>
      </c>
      <c r="D363" s="5" t="s">
        <v>103</v>
      </c>
      <c r="E363" s="5" t="s">
        <v>104</v>
      </c>
      <c r="F363" s="5" t="s">
        <v>92</v>
      </c>
      <c r="G363" s="5" t="s">
        <v>90</v>
      </c>
      <c r="H363" s="5" t="s">
        <v>61</v>
      </c>
      <c r="I363" s="5" t="s">
        <v>40</v>
      </c>
      <c r="J363" s="5" t="s">
        <v>29</v>
      </c>
      <c r="K363" s="5" t="s">
        <v>30</v>
      </c>
      <c r="L363" s="5" t="s">
        <v>31</v>
      </c>
      <c r="M363" s="5" t="s">
        <v>32</v>
      </c>
      <c r="N363" s="5" t="s">
        <v>33</v>
      </c>
    </row>
    <row r="364" spans="1:14" ht="15.75" customHeight="1" x14ac:dyDescent="0.2">
      <c r="A364" s="5" t="s">
        <v>35</v>
      </c>
      <c r="B364" s="5">
        <v>1</v>
      </c>
      <c r="C364" s="5">
        <v>55.2</v>
      </c>
      <c r="D364" s="5" t="s">
        <v>103</v>
      </c>
      <c r="E364" s="5" t="s">
        <v>104</v>
      </c>
      <c r="F364" s="5" t="s">
        <v>92</v>
      </c>
      <c r="G364" s="5" t="s">
        <v>91</v>
      </c>
      <c r="H364" s="5" t="s">
        <v>61</v>
      </c>
      <c r="I364" s="5" t="s">
        <v>40</v>
      </c>
      <c r="J364" s="5" t="s">
        <v>29</v>
      </c>
      <c r="K364" s="5" t="s">
        <v>30</v>
      </c>
      <c r="L364" s="5" t="s">
        <v>31</v>
      </c>
      <c r="M364" s="5" t="s">
        <v>32</v>
      </c>
      <c r="N364" s="5" t="s">
        <v>33</v>
      </c>
    </row>
    <row r="365" spans="1:14" ht="15.75" customHeight="1" x14ac:dyDescent="0.2">
      <c r="A365" s="5" t="s">
        <v>41</v>
      </c>
      <c r="B365" s="5">
        <v>0</v>
      </c>
      <c r="C365" s="5">
        <v>0</v>
      </c>
      <c r="D365" s="5" t="s">
        <v>103</v>
      </c>
      <c r="E365" s="5" t="s">
        <v>104</v>
      </c>
      <c r="F365" s="5" t="s">
        <v>92</v>
      </c>
      <c r="G365" s="5" t="s">
        <v>90</v>
      </c>
      <c r="H365" s="5" t="s">
        <v>61</v>
      </c>
      <c r="I365" s="5" t="s">
        <v>41</v>
      </c>
      <c r="J365" s="5" t="s">
        <v>29</v>
      </c>
      <c r="K365" s="5" t="s">
        <v>30</v>
      </c>
      <c r="L365" s="5" t="s">
        <v>31</v>
      </c>
      <c r="M365" s="5" t="s">
        <v>32</v>
      </c>
      <c r="N365" s="5" t="s">
        <v>33</v>
      </c>
    </row>
    <row r="366" spans="1:14" ht="15.75" customHeight="1" x14ac:dyDescent="0.2">
      <c r="A366" s="5" t="s">
        <v>35</v>
      </c>
      <c r="B366" s="5">
        <v>0</v>
      </c>
      <c r="C366" s="5">
        <v>0</v>
      </c>
      <c r="D366" s="5" t="s">
        <v>103</v>
      </c>
      <c r="E366" s="5" t="s">
        <v>104</v>
      </c>
      <c r="F366" s="5" t="s">
        <v>92</v>
      </c>
      <c r="G366" s="5" t="s">
        <v>91</v>
      </c>
      <c r="H366" s="5" t="s">
        <v>61</v>
      </c>
      <c r="I366" s="5" t="s">
        <v>41</v>
      </c>
      <c r="J366" s="5" t="s">
        <v>29</v>
      </c>
      <c r="K366" s="5" t="s">
        <v>30</v>
      </c>
      <c r="L366" s="5" t="s">
        <v>31</v>
      </c>
      <c r="M366" s="5" t="s">
        <v>32</v>
      </c>
      <c r="N366" s="5" t="s">
        <v>33</v>
      </c>
    </row>
    <row r="367" spans="1:14" ht="15.75" customHeight="1" x14ac:dyDescent="0.2">
      <c r="A367" s="5" t="s">
        <v>42</v>
      </c>
      <c r="B367" s="5">
        <v>8</v>
      </c>
      <c r="C367" s="5">
        <v>311.22000000000003</v>
      </c>
      <c r="D367" s="5" t="s">
        <v>103</v>
      </c>
      <c r="E367" s="5" t="s">
        <v>104</v>
      </c>
      <c r="F367" s="5" t="s">
        <v>92</v>
      </c>
      <c r="G367" s="5" t="s">
        <v>90</v>
      </c>
      <c r="H367" s="5" t="s">
        <v>61</v>
      </c>
      <c r="I367" s="5" t="s">
        <v>42</v>
      </c>
      <c r="J367" s="5" t="s">
        <v>29</v>
      </c>
      <c r="K367" s="5" t="s">
        <v>30</v>
      </c>
      <c r="L367" s="5" t="s">
        <v>31</v>
      </c>
      <c r="M367" s="5" t="s">
        <v>32</v>
      </c>
      <c r="N367" s="5" t="s">
        <v>33</v>
      </c>
    </row>
    <row r="368" spans="1:14" ht="15.75" customHeight="1" x14ac:dyDescent="0.2">
      <c r="A368" s="5" t="s">
        <v>35</v>
      </c>
      <c r="B368" s="5">
        <v>8</v>
      </c>
      <c r="C368" s="5">
        <v>311.22000000000003</v>
      </c>
      <c r="D368" s="5" t="s">
        <v>103</v>
      </c>
      <c r="E368" s="5" t="s">
        <v>104</v>
      </c>
      <c r="F368" s="5" t="s">
        <v>92</v>
      </c>
      <c r="G368" s="5" t="s">
        <v>91</v>
      </c>
      <c r="H368" s="5" t="s">
        <v>61</v>
      </c>
      <c r="I368" s="5" t="s">
        <v>42</v>
      </c>
      <c r="J368" s="5" t="s">
        <v>29</v>
      </c>
      <c r="K368" s="5" t="s">
        <v>30</v>
      </c>
      <c r="L368" s="5" t="s">
        <v>31</v>
      </c>
      <c r="M368" s="5" t="s">
        <v>32</v>
      </c>
      <c r="N368" s="5" t="s">
        <v>33</v>
      </c>
    </row>
    <row r="369" spans="1:14" ht="15.75" customHeight="1" x14ac:dyDescent="0.2">
      <c r="A369" s="5" t="s">
        <v>43</v>
      </c>
      <c r="B369" s="5">
        <v>0</v>
      </c>
      <c r="C369" s="5">
        <v>0</v>
      </c>
      <c r="D369" s="5" t="s">
        <v>103</v>
      </c>
      <c r="E369" s="5" t="s">
        <v>104</v>
      </c>
      <c r="F369" s="5" t="s">
        <v>92</v>
      </c>
      <c r="G369" s="5" t="s">
        <v>90</v>
      </c>
      <c r="H369" s="5" t="s">
        <v>61</v>
      </c>
      <c r="I369" s="5" t="s">
        <v>43</v>
      </c>
      <c r="J369" s="5" t="s">
        <v>29</v>
      </c>
      <c r="K369" s="5" t="s">
        <v>30</v>
      </c>
      <c r="L369" s="5" t="s">
        <v>31</v>
      </c>
      <c r="M369" s="5" t="s">
        <v>32</v>
      </c>
      <c r="N369" s="5" t="s">
        <v>33</v>
      </c>
    </row>
    <row r="370" spans="1:14" ht="15.75" customHeight="1" x14ac:dyDescent="0.2">
      <c r="A370" s="5" t="s">
        <v>35</v>
      </c>
      <c r="B370" s="5">
        <v>0</v>
      </c>
      <c r="C370" s="5">
        <v>0</v>
      </c>
      <c r="D370" s="5" t="s">
        <v>103</v>
      </c>
      <c r="E370" s="5" t="s">
        <v>104</v>
      </c>
      <c r="F370" s="5" t="s">
        <v>92</v>
      </c>
      <c r="G370" s="5" t="s">
        <v>91</v>
      </c>
      <c r="H370" s="5" t="s">
        <v>61</v>
      </c>
      <c r="I370" s="5" t="s">
        <v>43</v>
      </c>
      <c r="J370" s="5" t="s">
        <v>29</v>
      </c>
      <c r="K370" s="5" t="s">
        <v>30</v>
      </c>
      <c r="L370" s="5" t="s">
        <v>31</v>
      </c>
      <c r="M370" s="5" t="s">
        <v>32</v>
      </c>
      <c r="N370" s="5" t="s">
        <v>33</v>
      </c>
    </row>
    <row r="371" spans="1:14" ht="15.75" customHeight="1" x14ac:dyDescent="0.2">
      <c r="A371" s="5" t="s">
        <v>44</v>
      </c>
      <c r="B371" s="5">
        <v>0</v>
      </c>
      <c r="C371" s="5">
        <v>0</v>
      </c>
      <c r="D371" s="5" t="s">
        <v>103</v>
      </c>
      <c r="E371" s="5" t="s">
        <v>104</v>
      </c>
      <c r="F371" s="5" t="s">
        <v>92</v>
      </c>
      <c r="G371" s="5" t="s">
        <v>90</v>
      </c>
      <c r="H371" s="5" t="s">
        <v>61</v>
      </c>
      <c r="I371" s="5" t="s">
        <v>44</v>
      </c>
      <c r="J371" s="5" t="s">
        <v>29</v>
      </c>
      <c r="K371" s="5" t="s">
        <v>30</v>
      </c>
      <c r="L371" s="5" t="s">
        <v>31</v>
      </c>
      <c r="M371" s="5" t="s">
        <v>32</v>
      </c>
      <c r="N371" s="5" t="s">
        <v>33</v>
      </c>
    </row>
    <row r="372" spans="1:14" ht="15.75" customHeight="1" x14ac:dyDescent="0.2">
      <c r="A372" s="5" t="s">
        <v>35</v>
      </c>
      <c r="B372" s="5">
        <v>0</v>
      </c>
      <c r="C372" s="5">
        <v>0</v>
      </c>
      <c r="D372" s="5" t="s">
        <v>103</v>
      </c>
      <c r="E372" s="5" t="s">
        <v>104</v>
      </c>
      <c r="F372" s="5" t="s">
        <v>92</v>
      </c>
      <c r="G372" s="5" t="s">
        <v>91</v>
      </c>
      <c r="H372" s="5" t="s">
        <v>61</v>
      </c>
      <c r="I372" s="5" t="s">
        <v>44</v>
      </c>
      <c r="J372" s="5" t="s">
        <v>29</v>
      </c>
      <c r="K372" s="5" t="s">
        <v>30</v>
      </c>
      <c r="L372" s="5" t="s">
        <v>31</v>
      </c>
      <c r="M372" s="5" t="s">
        <v>32</v>
      </c>
      <c r="N372" s="5" t="s">
        <v>33</v>
      </c>
    </row>
    <row r="373" spans="1:14" ht="15.75" customHeight="1" x14ac:dyDescent="0.2">
      <c r="A373" s="5" t="s">
        <v>45</v>
      </c>
      <c r="B373" s="5">
        <v>0</v>
      </c>
      <c r="C373" s="5">
        <v>0</v>
      </c>
      <c r="D373" s="5" t="s">
        <v>103</v>
      </c>
      <c r="E373" s="5" t="s">
        <v>104</v>
      </c>
      <c r="F373" s="5" t="s">
        <v>92</v>
      </c>
      <c r="G373" s="5" t="s">
        <v>90</v>
      </c>
      <c r="H373" s="5" t="s">
        <v>61</v>
      </c>
      <c r="I373" s="5" t="s">
        <v>45</v>
      </c>
      <c r="J373" s="5" t="s">
        <v>29</v>
      </c>
      <c r="K373" s="5" t="s">
        <v>30</v>
      </c>
      <c r="L373" s="5" t="s">
        <v>31</v>
      </c>
      <c r="M373" s="5" t="s">
        <v>32</v>
      </c>
      <c r="N373" s="5" t="s">
        <v>33</v>
      </c>
    </row>
    <row r="374" spans="1:14" ht="15.75" customHeight="1" x14ac:dyDescent="0.2">
      <c r="A374" s="5" t="s">
        <v>35</v>
      </c>
      <c r="B374" s="5">
        <v>0</v>
      </c>
      <c r="C374" s="5">
        <v>0</v>
      </c>
      <c r="D374" s="5" t="s">
        <v>103</v>
      </c>
      <c r="E374" s="5" t="s">
        <v>104</v>
      </c>
      <c r="F374" s="5" t="s">
        <v>92</v>
      </c>
      <c r="G374" s="5" t="s">
        <v>91</v>
      </c>
      <c r="H374" s="5" t="s">
        <v>61</v>
      </c>
      <c r="I374" s="5" t="s">
        <v>45</v>
      </c>
      <c r="J374" s="5" t="s">
        <v>29</v>
      </c>
      <c r="K374" s="5" t="s">
        <v>30</v>
      </c>
      <c r="L374" s="5" t="s">
        <v>31</v>
      </c>
      <c r="M374" s="5" t="s">
        <v>32</v>
      </c>
      <c r="N374" s="5" t="s">
        <v>33</v>
      </c>
    </row>
    <row r="375" spans="1:14" ht="15.75" customHeight="1" x14ac:dyDescent="0.2">
      <c r="A375" s="5" t="s">
        <v>46</v>
      </c>
      <c r="B375" s="5">
        <v>0</v>
      </c>
      <c r="C375" s="5">
        <v>0</v>
      </c>
      <c r="D375" s="5" t="s">
        <v>103</v>
      </c>
      <c r="E375" s="5" t="s">
        <v>104</v>
      </c>
      <c r="F375" s="5" t="s">
        <v>92</v>
      </c>
      <c r="G375" s="5" t="s">
        <v>90</v>
      </c>
      <c r="H375" s="5" t="s">
        <v>61</v>
      </c>
      <c r="I375" s="5" t="s">
        <v>46</v>
      </c>
      <c r="J375" s="5" t="s">
        <v>29</v>
      </c>
      <c r="K375" s="5" t="s">
        <v>30</v>
      </c>
      <c r="L375" s="5" t="s">
        <v>31</v>
      </c>
      <c r="M375" s="5" t="s">
        <v>32</v>
      </c>
      <c r="N375" s="5" t="s">
        <v>33</v>
      </c>
    </row>
    <row r="376" spans="1:14" ht="15.75" customHeight="1" x14ac:dyDescent="0.2">
      <c r="A376" s="5" t="s">
        <v>35</v>
      </c>
      <c r="B376" s="5">
        <v>0</v>
      </c>
      <c r="C376" s="5">
        <v>0</v>
      </c>
      <c r="D376" s="5" t="s">
        <v>103</v>
      </c>
      <c r="E376" s="5" t="s">
        <v>104</v>
      </c>
      <c r="F376" s="5" t="s">
        <v>92</v>
      </c>
      <c r="G376" s="5" t="s">
        <v>91</v>
      </c>
      <c r="H376" s="5" t="s">
        <v>61</v>
      </c>
      <c r="I376" s="5" t="s">
        <v>46</v>
      </c>
      <c r="J376" s="5" t="s">
        <v>29</v>
      </c>
      <c r="K376" s="5" t="s">
        <v>30</v>
      </c>
      <c r="L376" s="5" t="s">
        <v>31</v>
      </c>
      <c r="M376" s="5" t="s">
        <v>32</v>
      </c>
      <c r="N376" s="5" t="s">
        <v>33</v>
      </c>
    </row>
    <row r="377" spans="1:14" ht="15.75" customHeight="1" x14ac:dyDescent="0.2">
      <c r="A377" s="5" t="s">
        <v>87</v>
      </c>
      <c r="B377" s="5">
        <v>15</v>
      </c>
      <c r="C377" s="5">
        <v>816.01</v>
      </c>
      <c r="D377" s="5" t="s">
        <v>105</v>
      </c>
      <c r="E377" s="5" t="s">
        <v>104</v>
      </c>
      <c r="F377" s="5" t="s">
        <v>92</v>
      </c>
      <c r="G377" s="5" t="s">
        <v>89</v>
      </c>
      <c r="H377" s="5" t="s">
        <v>60</v>
      </c>
      <c r="I377" s="5" t="s">
        <v>87</v>
      </c>
      <c r="J377" s="5" t="s">
        <v>29</v>
      </c>
      <c r="K377" s="5" t="s">
        <v>30</v>
      </c>
      <c r="L377" s="5" t="s">
        <v>31</v>
      </c>
      <c r="M377" s="5" t="s">
        <v>32</v>
      </c>
      <c r="N377" s="5" t="s">
        <v>33</v>
      </c>
    </row>
    <row r="378" spans="1:14" ht="15.75" customHeight="1" x14ac:dyDescent="0.2">
      <c r="A378" s="5" t="s">
        <v>34</v>
      </c>
      <c r="B378" s="5">
        <v>1</v>
      </c>
      <c r="C378" s="5">
        <v>32</v>
      </c>
      <c r="D378" s="5" t="s">
        <v>105</v>
      </c>
      <c r="E378" s="5" t="s">
        <v>104</v>
      </c>
      <c r="F378" s="5" t="s">
        <v>92</v>
      </c>
      <c r="G378" s="5" t="s">
        <v>90</v>
      </c>
      <c r="H378" s="5" t="s">
        <v>60</v>
      </c>
      <c r="I378" s="5" t="s">
        <v>34</v>
      </c>
      <c r="J378" s="5" t="s">
        <v>29</v>
      </c>
      <c r="K378" s="5" t="s">
        <v>30</v>
      </c>
      <c r="L378" s="5" t="s">
        <v>31</v>
      </c>
      <c r="M378" s="5" t="s">
        <v>32</v>
      </c>
      <c r="N378" s="5" t="s">
        <v>33</v>
      </c>
    </row>
    <row r="379" spans="1:14" ht="15.75" customHeight="1" x14ac:dyDescent="0.2">
      <c r="A379" s="5" t="s">
        <v>35</v>
      </c>
      <c r="B379" s="5">
        <v>1</v>
      </c>
      <c r="C379" s="5">
        <v>32</v>
      </c>
      <c r="D379" s="5" t="s">
        <v>105</v>
      </c>
      <c r="E379" s="5" t="s">
        <v>104</v>
      </c>
      <c r="F379" s="5" t="s">
        <v>92</v>
      </c>
      <c r="G379" s="5" t="s">
        <v>91</v>
      </c>
      <c r="H379" s="5" t="s">
        <v>60</v>
      </c>
      <c r="I379" s="5" t="s">
        <v>34</v>
      </c>
      <c r="J379" s="5" t="s">
        <v>29</v>
      </c>
      <c r="K379" s="5" t="s">
        <v>30</v>
      </c>
      <c r="L379" s="5" t="s">
        <v>31</v>
      </c>
      <c r="M379" s="5" t="s">
        <v>32</v>
      </c>
      <c r="N379" s="5" t="s">
        <v>33</v>
      </c>
    </row>
    <row r="380" spans="1:14" ht="15.75" customHeight="1" x14ac:dyDescent="0.2">
      <c r="A380" s="5" t="s">
        <v>36</v>
      </c>
      <c r="B380" s="5">
        <v>5</v>
      </c>
      <c r="C380" s="5">
        <v>267.70999999999998</v>
      </c>
      <c r="D380" s="5" t="s">
        <v>105</v>
      </c>
      <c r="E380" s="5" t="s">
        <v>104</v>
      </c>
      <c r="F380" s="5" t="s">
        <v>92</v>
      </c>
      <c r="G380" s="5" t="s">
        <v>90</v>
      </c>
      <c r="H380" s="5" t="s">
        <v>60</v>
      </c>
      <c r="I380" s="5" t="s">
        <v>36</v>
      </c>
      <c r="J380" s="5" t="s">
        <v>29</v>
      </c>
      <c r="K380" s="5" t="s">
        <v>30</v>
      </c>
      <c r="L380" s="5" t="s">
        <v>31</v>
      </c>
      <c r="M380" s="5" t="s">
        <v>32</v>
      </c>
      <c r="N380" s="5" t="s">
        <v>33</v>
      </c>
    </row>
    <row r="381" spans="1:14" ht="15.75" customHeight="1" x14ac:dyDescent="0.2">
      <c r="A381" s="5" t="s">
        <v>35</v>
      </c>
      <c r="B381" s="5">
        <v>5</v>
      </c>
      <c r="C381" s="5">
        <v>267.70999999999998</v>
      </c>
      <c r="D381" s="5" t="s">
        <v>105</v>
      </c>
      <c r="E381" s="5" t="s">
        <v>104</v>
      </c>
      <c r="F381" s="5" t="s">
        <v>92</v>
      </c>
      <c r="G381" s="5" t="s">
        <v>91</v>
      </c>
      <c r="H381" s="5" t="s">
        <v>60</v>
      </c>
      <c r="I381" s="5" t="s">
        <v>36</v>
      </c>
      <c r="J381" s="5" t="s">
        <v>29</v>
      </c>
      <c r="K381" s="5" t="s">
        <v>30</v>
      </c>
      <c r="L381" s="5" t="s">
        <v>31</v>
      </c>
      <c r="M381" s="5" t="s">
        <v>32</v>
      </c>
      <c r="N381" s="5" t="s">
        <v>33</v>
      </c>
    </row>
    <row r="382" spans="1:14" ht="15.75" customHeight="1" x14ac:dyDescent="0.2">
      <c r="A382" s="5" t="s">
        <v>37</v>
      </c>
      <c r="B382" s="5">
        <v>4</v>
      </c>
      <c r="C382" s="5">
        <v>201.5</v>
      </c>
      <c r="D382" s="5" t="s">
        <v>105</v>
      </c>
      <c r="E382" s="5" t="s">
        <v>104</v>
      </c>
      <c r="F382" s="5" t="s">
        <v>92</v>
      </c>
      <c r="G382" s="5" t="s">
        <v>90</v>
      </c>
      <c r="H382" s="5" t="s">
        <v>60</v>
      </c>
      <c r="I382" s="5" t="s">
        <v>37</v>
      </c>
      <c r="J382" s="5" t="s">
        <v>29</v>
      </c>
      <c r="K382" s="5" t="s">
        <v>30</v>
      </c>
      <c r="L382" s="5" t="s">
        <v>31</v>
      </c>
      <c r="M382" s="5" t="s">
        <v>32</v>
      </c>
      <c r="N382" s="5" t="s">
        <v>33</v>
      </c>
    </row>
    <row r="383" spans="1:14" ht="15.75" customHeight="1" x14ac:dyDescent="0.2">
      <c r="A383" s="5" t="s">
        <v>35</v>
      </c>
      <c r="B383" s="5">
        <v>4</v>
      </c>
      <c r="C383" s="5">
        <v>201.5</v>
      </c>
      <c r="D383" s="5" t="s">
        <v>105</v>
      </c>
      <c r="E383" s="5" t="s">
        <v>104</v>
      </c>
      <c r="F383" s="5" t="s">
        <v>92</v>
      </c>
      <c r="G383" s="5" t="s">
        <v>91</v>
      </c>
      <c r="H383" s="5" t="s">
        <v>60</v>
      </c>
      <c r="I383" s="5" t="s">
        <v>37</v>
      </c>
      <c r="J383" s="5" t="s">
        <v>29</v>
      </c>
      <c r="K383" s="5" t="s">
        <v>30</v>
      </c>
      <c r="L383" s="5" t="s">
        <v>31</v>
      </c>
      <c r="M383" s="5" t="s">
        <v>32</v>
      </c>
      <c r="N383" s="5" t="s">
        <v>33</v>
      </c>
    </row>
    <row r="384" spans="1:14" ht="15.75" customHeight="1" x14ac:dyDescent="0.2">
      <c r="A384" s="5" t="s">
        <v>38</v>
      </c>
      <c r="B384" s="5">
        <v>0</v>
      </c>
      <c r="C384" s="5">
        <v>0</v>
      </c>
      <c r="D384" s="5" t="s">
        <v>105</v>
      </c>
      <c r="E384" s="5" t="s">
        <v>104</v>
      </c>
      <c r="F384" s="5" t="s">
        <v>92</v>
      </c>
      <c r="G384" s="5" t="s">
        <v>90</v>
      </c>
      <c r="H384" s="5" t="s">
        <v>60</v>
      </c>
      <c r="I384" s="5" t="s">
        <v>38</v>
      </c>
      <c r="J384" s="5" t="s">
        <v>29</v>
      </c>
      <c r="K384" s="5" t="s">
        <v>30</v>
      </c>
      <c r="L384" s="5" t="s">
        <v>31</v>
      </c>
      <c r="M384" s="5" t="s">
        <v>32</v>
      </c>
      <c r="N384" s="5" t="s">
        <v>33</v>
      </c>
    </row>
    <row r="385" spans="1:14" ht="15.75" customHeight="1" x14ac:dyDescent="0.2">
      <c r="A385" s="5" t="s">
        <v>35</v>
      </c>
      <c r="B385" s="5">
        <v>0</v>
      </c>
      <c r="C385" s="5">
        <v>0</v>
      </c>
      <c r="D385" s="5" t="s">
        <v>105</v>
      </c>
      <c r="E385" s="5" t="s">
        <v>104</v>
      </c>
      <c r="F385" s="5" t="s">
        <v>92</v>
      </c>
      <c r="G385" s="5" t="s">
        <v>91</v>
      </c>
      <c r="H385" s="5" t="s">
        <v>60</v>
      </c>
      <c r="I385" s="5" t="s">
        <v>38</v>
      </c>
      <c r="J385" s="5" t="s">
        <v>29</v>
      </c>
      <c r="K385" s="5" t="s">
        <v>30</v>
      </c>
      <c r="L385" s="5" t="s">
        <v>31</v>
      </c>
      <c r="M385" s="5" t="s">
        <v>32</v>
      </c>
      <c r="N385" s="5" t="s">
        <v>33</v>
      </c>
    </row>
    <row r="386" spans="1:14" ht="15.75" customHeight="1" x14ac:dyDescent="0.2">
      <c r="A386" s="5" t="s">
        <v>39</v>
      </c>
      <c r="B386" s="5">
        <v>0</v>
      </c>
      <c r="C386" s="5">
        <v>0</v>
      </c>
      <c r="D386" s="5" t="s">
        <v>105</v>
      </c>
      <c r="E386" s="5" t="s">
        <v>104</v>
      </c>
      <c r="F386" s="5" t="s">
        <v>92</v>
      </c>
      <c r="G386" s="5" t="s">
        <v>90</v>
      </c>
      <c r="H386" s="5" t="s">
        <v>60</v>
      </c>
      <c r="I386" s="5" t="s">
        <v>39</v>
      </c>
      <c r="J386" s="5" t="s">
        <v>29</v>
      </c>
      <c r="K386" s="5" t="s">
        <v>30</v>
      </c>
      <c r="L386" s="5" t="s">
        <v>31</v>
      </c>
      <c r="M386" s="5" t="s">
        <v>32</v>
      </c>
      <c r="N386" s="5" t="s">
        <v>33</v>
      </c>
    </row>
    <row r="387" spans="1:14" ht="15.75" customHeight="1" x14ac:dyDescent="0.2">
      <c r="A387" s="5" t="s">
        <v>35</v>
      </c>
      <c r="B387" s="5">
        <v>0</v>
      </c>
      <c r="C387" s="5">
        <v>0</v>
      </c>
      <c r="D387" s="5" t="s">
        <v>105</v>
      </c>
      <c r="E387" s="5" t="s">
        <v>104</v>
      </c>
      <c r="F387" s="5" t="s">
        <v>92</v>
      </c>
      <c r="G387" s="5" t="s">
        <v>91</v>
      </c>
      <c r="H387" s="5" t="s">
        <v>60</v>
      </c>
      <c r="I387" s="5" t="s">
        <v>39</v>
      </c>
      <c r="J387" s="5" t="s">
        <v>29</v>
      </c>
      <c r="K387" s="5" t="s">
        <v>30</v>
      </c>
      <c r="L387" s="5" t="s">
        <v>31</v>
      </c>
      <c r="M387" s="5" t="s">
        <v>32</v>
      </c>
      <c r="N387" s="5" t="s">
        <v>33</v>
      </c>
    </row>
    <row r="388" spans="1:14" ht="15.75" customHeight="1" x14ac:dyDescent="0.2">
      <c r="A388" s="5" t="s">
        <v>40</v>
      </c>
      <c r="B388" s="5">
        <v>0</v>
      </c>
      <c r="C388" s="5">
        <v>0</v>
      </c>
      <c r="D388" s="5" t="s">
        <v>105</v>
      </c>
      <c r="E388" s="5" t="s">
        <v>104</v>
      </c>
      <c r="F388" s="5" t="s">
        <v>92</v>
      </c>
      <c r="G388" s="5" t="s">
        <v>90</v>
      </c>
      <c r="H388" s="5" t="s">
        <v>60</v>
      </c>
      <c r="I388" s="5" t="s">
        <v>40</v>
      </c>
      <c r="J388" s="5" t="s">
        <v>29</v>
      </c>
      <c r="K388" s="5" t="s">
        <v>30</v>
      </c>
      <c r="L388" s="5" t="s">
        <v>31</v>
      </c>
      <c r="M388" s="5" t="s">
        <v>32</v>
      </c>
      <c r="N388" s="5" t="s">
        <v>33</v>
      </c>
    </row>
    <row r="389" spans="1:14" ht="15.75" customHeight="1" x14ac:dyDescent="0.2">
      <c r="A389" s="5" t="s">
        <v>35</v>
      </c>
      <c r="B389" s="5">
        <v>0</v>
      </c>
      <c r="C389" s="5">
        <v>0</v>
      </c>
      <c r="D389" s="5" t="s">
        <v>105</v>
      </c>
      <c r="E389" s="5" t="s">
        <v>104</v>
      </c>
      <c r="F389" s="5" t="s">
        <v>92</v>
      </c>
      <c r="G389" s="5" t="s">
        <v>91</v>
      </c>
      <c r="H389" s="5" t="s">
        <v>60</v>
      </c>
      <c r="I389" s="5" t="s">
        <v>40</v>
      </c>
      <c r="J389" s="5" t="s">
        <v>29</v>
      </c>
      <c r="K389" s="5" t="s">
        <v>30</v>
      </c>
      <c r="L389" s="5" t="s">
        <v>31</v>
      </c>
      <c r="M389" s="5" t="s">
        <v>32</v>
      </c>
      <c r="N389" s="5" t="s">
        <v>33</v>
      </c>
    </row>
    <row r="390" spans="1:14" ht="15.75" customHeight="1" x14ac:dyDescent="0.2">
      <c r="A390" s="5" t="s">
        <v>41</v>
      </c>
      <c r="B390" s="5">
        <v>0</v>
      </c>
      <c r="C390" s="5">
        <v>0</v>
      </c>
      <c r="D390" s="5" t="s">
        <v>105</v>
      </c>
      <c r="E390" s="5" t="s">
        <v>104</v>
      </c>
      <c r="F390" s="5" t="s">
        <v>92</v>
      </c>
      <c r="G390" s="5" t="s">
        <v>90</v>
      </c>
      <c r="H390" s="5" t="s">
        <v>60</v>
      </c>
      <c r="I390" s="5" t="s">
        <v>41</v>
      </c>
      <c r="J390" s="5" t="s">
        <v>29</v>
      </c>
      <c r="K390" s="5" t="s">
        <v>30</v>
      </c>
      <c r="L390" s="5" t="s">
        <v>31</v>
      </c>
      <c r="M390" s="5" t="s">
        <v>32</v>
      </c>
      <c r="N390" s="5" t="s">
        <v>33</v>
      </c>
    </row>
    <row r="391" spans="1:14" ht="15.75" customHeight="1" x14ac:dyDescent="0.2">
      <c r="A391" s="5" t="s">
        <v>35</v>
      </c>
      <c r="B391" s="5">
        <v>0</v>
      </c>
      <c r="C391" s="5">
        <v>0</v>
      </c>
      <c r="D391" s="5" t="s">
        <v>105</v>
      </c>
      <c r="E391" s="5" t="s">
        <v>104</v>
      </c>
      <c r="F391" s="5" t="s">
        <v>92</v>
      </c>
      <c r="G391" s="5" t="s">
        <v>91</v>
      </c>
      <c r="H391" s="5" t="s">
        <v>60</v>
      </c>
      <c r="I391" s="5" t="s">
        <v>41</v>
      </c>
      <c r="J391" s="5" t="s">
        <v>29</v>
      </c>
      <c r="K391" s="5" t="s">
        <v>30</v>
      </c>
      <c r="L391" s="5" t="s">
        <v>31</v>
      </c>
      <c r="M391" s="5" t="s">
        <v>32</v>
      </c>
      <c r="N391" s="5" t="s">
        <v>33</v>
      </c>
    </row>
    <row r="392" spans="1:14" ht="15.75" customHeight="1" x14ac:dyDescent="0.2">
      <c r="A392" s="5" t="s">
        <v>42</v>
      </c>
      <c r="B392" s="5">
        <v>5</v>
      </c>
      <c r="C392" s="5">
        <v>314.8</v>
      </c>
      <c r="D392" s="5" t="s">
        <v>105</v>
      </c>
      <c r="E392" s="5" t="s">
        <v>104</v>
      </c>
      <c r="F392" s="5" t="s">
        <v>92</v>
      </c>
      <c r="G392" s="5" t="s">
        <v>90</v>
      </c>
      <c r="H392" s="5" t="s">
        <v>60</v>
      </c>
      <c r="I392" s="5" t="s">
        <v>42</v>
      </c>
      <c r="J392" s="5" t="s">
        <v>29</v>
      </c>
      <c r="K392" s="5" t="s">
        <v>30</v>
      </c>
      <c r="L392" s="5" t="s">
        <v>31</v>
      </c>
      <c r="M392" s="5" t="s">
        <v>32</v>
      </c>
      <c r="N392" s="5" t="s">
        <v>33</v>
      </c>
    </row>
    <row r="393" spans="1:14" ht="15.75" customHeight="1" x14ac:dyDescent="0.2">
      <c r="A393" s="5" t="s">
        <v>35</v>
      </c>
      <c r="B393" s="5">
        <v>5</v>
      </c>
      <c r="C393" s="5">
        <v>314.8</v>
      </c>
      <c r="D393" s="5" t="s">
        <v>105</v>
      </c>
      <c r="E393" s="5" t="s">
        <v>104</v>
      </c>
      <c r="F393" s="5" t="s">
        <v>92</v>
      </c>
      <c r="G393" s="5" t="s">
        <v>91</v>
      </c>
      <c r="H393" s="5" t="s">
        <v>60</v>
      </c>
      <c r="I393" s="5" t="s">
        <v>42</v>
      </c>
      <c r="J393" s="5" t="s">
        <v>29</v>
      </c>
      <c r="K393" s="5" t="s">
        <v>30</v>
      </c>
      <c r="L393" s="5" t="s">
        <v>31</v>
      </c>
      <c r="M393" s="5" t="s">
        <v>32</v>
      </c>
      <c r="N393" s="5" t="s">
        <v>33</v>
      </c>
    </row>
    <row r="394" spans="1:14" ht="15.75" customHeight="1" x14ac:dyDescent="0.2">
      <c r="A394" s="5" t="s">
        <v>43</v>
      </c>
      <c r="B394" s="5">
        <v>0</v>
      </c>
      <c r="C394" s="5">
        <v>0</v>
      </c>
      <c r="D394" s="5" t="s">
        <v>105</v>
      </c>
      <c r="E394" s="5" t="s">
        <v>104</v>
      </c>
      <c r="F394" s="5" t="s">
        <v>92</v>
      </c>
      <c r="G394" s="5" t="s">
        <v>90</v>
      </c>
      <c r="H394" s="5" t="s">
        <v>60</v>
      </c>
      <c r="I394" s="5" t="s">
        <v>43</v>
      </c>
      <c r="J394" s="5" t="s">
        <v>29</v>
      </c>
      <c r="K394" s="5" t="s">
        <v>30</v>
      </c>
      <c r="L394" s="5" t="s">
        <v>31</v>
      </c>
      <c r="M394" s="5" t="s">
        <v>32</v>
      </c>
      <c r="N394" s="5" t="s">
        <v>33</v>
      </c>
    </row>
    <row r="395" spans="1:14" ht="15.75" customHeight="1" x14ac:dyDescent="0.2">
      <c r="A395" s="5" t="s">
        <v>35</v>
      </c>
      <c r="B395" s="5">
        <v>0</v>
      </c>
      <c r="C395" s="5">
        <v>0</v>
      </c>
      <c r="D395" s="5" t="s">
        <v>105</v>
      </c>
      <c r="E395" s="5" t="s">
        <v>104</v>
      </c>
      <c r="F395" s="5" t="s">
        <v>92</v>
      </c>
      <c r="G395" s="5" t="s">
        <v>91</v>
      </c>
      <c r="H395" s="5" t="s">
        <v>60</v>
      </c>
      <c r="I395" s="5" t="s">
        <v>43</v>
      </c>
      <c r="J395" s="5" t="s">
        <v>29</v>
      </c>
      <c r="K395" s="5" t="s">
        <v>30</v>
      </c>
      <c r="L395" s="5" t="s">
        <v>31</v>
      </c>
      <c r="M395" s="5" t="s">
        <v>32</v>
      </c>
      <c r="N395" s="5" t="s">
        <v>33</v>
      </c>
    </row>
    <row r="396" spans="1:14" ht="15.75" customHeight="1" x14ac:dyDescent="0.2">
      <c r="A396" s="5" t="s">
        <v>44</v>
      </c>
      <c r="B396" s="5">
        <v>0</v>
      </c>
      <c r="C396" s="5">
        <v>0</v>
      </c>
      <c r="D396" s="5" t="s">
        <v>105</v>
      </c>
      <c r="E396" s="5" t="s">
        <v>104</v>
      </c>
      <c r="F396" s="5" t="s">
        <v>92</v>
      </c>
      <c r="G396" s="5" t="s">
        <v>90</v>
      </c>
      <c r="H396" s="5" t="s">
        <v>60</v>
      </c>
      <c r="I396" s="5" t="s">
        <v>44</v>
      </c>
      <c r="J396" s="5" t="s">
        <v>29</v>
      </c>
      <c r="K396" s="5" t="s">
        <v>30</v>
      </c>
      <c r="L396" s="5" t="s">
        <v>31</v>
      </c>
      <c r="M396" s="5" t="s">
        <v>32</v>
      </c>
      <c r="N396" s="5" t="s">
        <v>33</v>
      </c>
    </row>
    <row r="397" spans="1:14" ht="15.75" customHeight="1" x14ac:dyDescent="0.2">
      <c r="A397" s="5" t="s">
        <v>35</v>
      </c>
      <c r="B397" s="5">
        <v>0</v>
      </c>
      <c r="C397" s="5">
        <v>0</v>
      </c>
      <c r="D397" s="5" t="s">
        <v>105</v>
      </c>
      <c r="E397" s="5" t="s">
        <v>104</v>
      </c>
      <c r="F397" s="5" t="s">
        <v>92</v>
      </c>
      <c r="G397" s="5" t="s">
        <v>91</v>
      </c>
      <c r="H397" s="5" t="s">
        <v>60</v>
      </c>
      <c r="I397" s="5" t="s">
        <v>44</v>
      </c>
      <c r="J397" s="5" t="s">
        <v>29</v>
      </c>
      <c r="K397" s="5" t="s">
        <v>30</v>
      </c>
      <c r="L397" s="5" t="s">
        <v>31</v>
      </c>
      <c r="M397" s="5" t="s">
        <v>32</v>
      </c>
      <c r="N397" s="5" t="s">
        <v>33</v>
      </c>
    </row>
    <row r="398" spans="1:14" ht="15.75" customHeight="1" x14ac:dyDescent="0.2">
      <c r="A398" s="5" t="s">
        <v>45</v>
      </c>
      <c r="B398" s="5">
        <v>0</v>
      </c>
      <c r="C398" s="5">
        <v>0</v>
      </c>
      <c r="D398" s="5" t="s">
        <v>105</v>
      </c>
      <c r="E398" s="5" t="s">
        <v>104</v>
      </c>
      <c r="F398" s="5" t="s">
        <v>92</v>
      </c>
      <c r="G398" s="5" t="s">
        <v>90</v>
      </c>
      <c r="H398" s="5" t="s">
        <v>60</v>
      </c>
      <c r="I398" s="5" t="s">
        <v>45</v>
      </c>
      <c r="J398" s="5" t="s">
        <v>29</v>
      </c>
      <c r="K398" s="5" t="s">
        <v>30</v>
      </c>
      <c r="L398" s="5" t="s">
        <v>31</v>
      </c>
      <c r="M398" s="5" t="s">
        <v>32</v>
      </c>
      <c r="N398" s="5" t="s">
        <v>33</v>
      </c>
    </row>
    <row r="399" spans="1:14" ht="15.75" customHeight="1" x14ac:dyDescent="0.2">
      <c r="A399" s="5" t="s">
        <v>35</v>
      </c>
      <c r="B399" s="5">
        <v>0</v>
      </c>
      <c r="C399" s="5">
        <v>0</v>
      </c>
      <c r="D399" s="5" t="s">
        <v>105</v>
      </c>
      <c r="E399" s="5" t="s">
        <v>104</v>
      </c>
      <c r="F399" s="5" t="s">
        <v>92</v>
      </c>
      <c r="G399" s="5" t="s">
        <v>91</v>
      </c>
      <c r="H399" s="5" t="s">
        <v>60</v>
      </c>
      <c r="I399" s="5" t="s">
        <v>45</v>
      </c>
      <c r="J399" s="5" t="s">
        <v>29</v>
      </c>
      <c r="K399" s="5" t="s">
        <v>30</v>
      </c>
      <c r="L399" s="5" t="s">
        <v>31</v>
      </c>
      <c r="M399" s="5" t="s">
        <v>32</v>
      </c>
      <c r="N399" s="5" t="s">
        <v>33</v>
      </c>
    </row>
    <row r="400" spans="1:14" ht="15.75" customHeight="1" x14ac:dyDescent="0.2">
      <c r="A400" s="5" t="s">
        <v>46</v>
      </c>
      <c r="B400" s="5">
        <v>0</v>
      </c>
      <c r="C400" s="5">
        <v>0</v>
      </c>
      <c r="D400" s="5" t="s">
        <v>105</v>
      </c>
      <c r="E400" s="5" t="s">
        <v>104</v>
      </c>
      <c r="F400" s="5" t="s">
        <v>92</v>
      </c>
      <c r="G400" s="5" t="s">
        <v>90</v>
      </c>
      <c r="H400" s="5" t="s">
        <v>60</v>
      </c>
      <c r="I400" s="5" t="s">
        <v>46</v>
      </c>
      <c r="J400" s="5" t="s">
        <v>29</v>
      </c>
      <c r="K400" s="5" t="s">
        <v>30</v>
      </c>
      <c r="L400" s="5" t="s">
        <v>31</v>
      </c>
      <c r="M400" s="5" t="s">
        <v>32</v>
      </c>
      <c r="N400" s="5" t="s">
        <v>33</v>
      </c>
    </row>
    <row r="401" spans="1:14" ht="15.75" customHeight="1" x14ac:dyDescent="0.2">
      <c r="A401" s="5" t="s">
        <v>35</v>
      </c>
      <c r="B401" s="5">
        <v>0</v>
      </c>
      <c r="C401" s="5">
        <v>0</v>
      </c>
      <c r="D401" s="5" t="s">
        <v>105</v>
      </c>
      <c r="E401" s="5" t="s">
        <v>104</v>
      </c>
      <c r="F401" s="5" t="s">
        <v>92</v>
      </c>
      <c r="G401" s="5" t="s">
        <v>91</v>
      </c>
      <c r="H401" s="5" t="s">
        <v>60</v>
      </c>
      <c r="I401" s="5" t="s">
        <v>46</v>
      </c>
      <c r="J401" s="5" t="s">
        <v>29</v>
      </c>
      <c r="K401" s="5" t="s">
        <v>30</v>
      </c>
      <c r="L401" s="5" t="s">
        <v>31</v>
      </c>
      <c r="M401" s="5" t="s">
        <v>32</v>
      </c>
      <c r="N401" s="5" t="s">
        <v>33</v>
      </c>
    </row>
    <row r="402" spans="1:14" ht="15.75" customHeight="1" x14ac:dyDescent="0.2"/>
    <row r="403" spans="1:14" ht="15.75" customHeight="1" x14ac:dyDescent="0.2"/>
    <row r="404" spans="1:14" ht="15.75" customHeight="1" x14ac:dyDescent="0.2"/>
    <row r="405" spans="1:14" ht="15.75" customHeight="1" x14ac:dyDescent="0.2"/>
    <row r="406" spans="1:14" ht="15.75" customHeight="1" x14ac:dyDescent="0.2"/>
    <row r="407" spans="1:14" ht="15.75" customHeight="1" x14ac:dyDescent="0.2"/>
    <row r="408" spans="1:14" ht="15.75" customHeight="1" x14ac:dyDescent="0.2"/>
    <row r="409" spans="1:14" ht="15.75" customHeight="1" x14ac:dyDescent="0.2"/>
    <row r="410" spans="1:14" ht="15.75" customHeight="1" x14ac:dyDescent="0.2"/>
    <row r="411" spans="1:14" ht="15.75" customHeight="1" x14ac:dyDescent="0.2"/>
    <row r="412" spans="1:14" ht="15.75" customHeight="1" x14ac:dyDescent="0.2"/>
    <row r="413" spans="1:14" ht="15.75" customHeight="1" x14ac:dyDescent="0.2"/>
    <row r="414" spans="1:14" ht="15.75" customHeight="1" x14ac:dyDescent="0.2"/>
    <row r="415" spans="1:14" ht="15.75" customHeight="1" x14ac:dyDescent="0.2"/>
    <row r="416" spans="1:14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0" x14ac:dyDescent="0.2">
      <c r="A1" s="24" t="s">
        <v>9</v>
      </c>
      <c r="B1" s="24" t="s">
        <v>14</v>
      </c>
      <c r="C1" s="24" t="s">
        <v>16</v>
      </c>
      <c r="D1" s="24" t="s">
        <v>15</v>
      </c>
      <c r="E1" s="24" t="s">
        <v>18</v>
      </c>
      <c r="F1" s="24" t="s">
        <v>73</v>
      </c>
      <c r="G1" s="24" t="s">
        <v>81</v>
      </c>
      <c r="H1" s="24" t="s">
        <v>19</v>
      </c>
      <c r="I1" s="24" t="s">
        <v>82</v>
      </c>
      <c r="J1" s="24" t="s">
        <v>83</v>
      </c>
      <c r="K1" s="24" t="s">
        <v>84</v>
      </c>
      <c r="L1" s="24" t="s">
        <v>85</v>
      </c>
      <c r="M1" s="24" t="s">
        <v>86</v>
      </c>
      <c r="N1" s="24" t="s">
        <v>8</v>
      </c>
      <c r="O1" s="24" t="s">
        <v>17</v>
      </c>
      <c r="P1" s="24" t="s">
        <v>1</v>
      </c>
      <c r="Q1" s="24" t="s">
        <v>2</v>
      </c>
      <c r="R1" s="24" t="s">
        <v>3</v>
      </c>
      <c r="S1" s="24" t="s">
        <v>4</v>
      </c>
      <c r="T1" s="24" t="s">
        <v>7</v>
      </c>
    </row>
    <row r="2" spans="1:20" x14ac:dyDescent="0.2">
      <c r="A2" s="5" t="s">
        <v>87</v>
      </c>
      <c r="B2" s="5">
        <v>4088930</v>
      </c>
      <c r="C2" s="5">
        <v>1072729</v>
      </c>
      <c r="D2" s="5">
        <v>6823</v>
      </c>
      <c r="E2" s="5">
        <v>0.17</v>
      </c>
      <c r="F2" s="5">
        <v>3.8</v>
      </c>
      <c r="G2" s="5">
        <v>26399</v>
      </c>
      <c r="H2" s="5">
        <v>6.46</v>
      </c>
      <c r="I2" s="5">
        <v>129</v>
      </c>
      <c r="J2" s="5">
        <v>5788.82</v>
      </c>
      <c r="K2" s="5" t="s">
        <v>4</v>
      </c>
      <c r="L2" s="5" t="s">
        <v>88</v>
      </c>
      <c r="M2" s="5" t="s">
        <v>89</v>
      </c>
      <c r="N2" s="5" t="s">
        <v>87</v>
      </c>
      <c r="O2" s="5">
        <v>1072729</v>
      </c>
      <c r="P2" s="5" t="s">
        <v>29</v>
      </c>
      <c r="Q2" s="5" t="s">
        <v>48</v>
      </c>
      <c r="R2" s="5" t="s">
        <v>31</v>
      </c>
      <c r="S2" s="5" t="s">
        <v>32</v>
      </c>
      <c r="T2" s="5" t="s">
        <v>16</v>
      </c>
    </row>
    <row r="3" spans="1:20" x14ac:dyDescent="0.2">
      <c r="A3" s="5" t="s">
        <v>34</v>
      </c>
      <c r="B3" s="5">
        <v>1287098</v>
      </c>
      <c r="C3" s="5">
        <v>187058</v>
      </c>
      <c r="D3" s="5">
        <v>2352</v>
      </c>
      <c r="E3" s="5">
        <v>0.18</v>
      </c>
      <c r="F3" s="5">
        <v>6.9</v>
      </c>
      <c r="G3" s="5">
        <v>8571</v>
      </c>
      <c r="H3" s="5">
        <v>6.66</v>
      </c>
      <c r="I3" s="5">
        <v>16</v>
      </c>
      <c r="J3" s="5">
        <v>668.65</v>
      </c>
      <c r="K3" s="5" t="s">
        <v>4</v>
      </c>
      <c r="L3" s="5" t="s">
        <v>88</v>
      </c>
      <c r="M3" s="5" t="s">
        <v>90</v>
      </c>
      <c r="N3" s="5" t="s">
        <v>34</v>
      </c>
      <c r="O3" s="5">
        <v>187058</v>
      </c>
      <c r="P3" s="5" t="s">
        <v>29</v>
      </c>
      <c r="Q3" s="5" t="s">
        <v>48</v>
      </c>
      <c r="R3" s="5" t="s">
        <v>31</v>
      </c>
      <c r="S3" s="5" t="s">
        <v>32</v>
      </c>
      <c r="T3" s="5" t="s">
        <v>16</v>
      </c>
    </row>
    <row r="4" spans="1:20" x14ac:dyDescent="0.2">
      <c r="A4" s="5" t="s">
        <v>35</v>
      </c>
      <c r="B4" s="5">
        <v>1287098</v>
      </c>
      <c r="C4" s="5">
        <v>187058</v>
      </c>
      <c r="D4" s="5">
        <v>2352</v>
      </c>
      <c r="E4" s="5">
        <v>0.18</v>
      </c>
      <c r="F4" s="5">
        <v>6.9</v>
      </c>
      <c r="G4" s="5">
        <v>8571</v>
      </c>
      <c r="H4" s="5">
        <v>6.66</v>
      </c>
      <c r="I4" s="5">
        <v>16</v>
      </c>
      <c r="J4" s="5">
        <v>668.65</v>
      </c>
      <c r="K4" s="5" t="s">
        <v>4</v>
      </c>
      <c r="L4" s="5" t="s">
        <v>88</v>
      </c>
      <c r="M4" s="5" t="s">
        <v>91</v>
      </c>
      <c r="N4" s="5" t="s">
        <v>34</v>
      </c>
      <c r="O4" s="5">
        <v>187058</v>
      </c>
      <c r="P4" s="5" t="s">
        <v>29</v>
      </c>
      <c r="Q4" s="5" t="s">
        <v>48</v>
      </c>
      <c r="R4" s="5" t="s">
        <v>31</v>
      </c>
      <c r="S4" s="5" t="s">
        <v>32</v>
      </c>
      <c r="T4" s="5" t="s">
        <v>16</v>
      </c>
    </row>
    <row r="5" spans="1:20" x14ac:dyDescent="0.2">
      <c r="A5" s="5" t="s">
        <v>36</v>
      </c>
      <c r="B5" s="5">
        <v>89478</v>
      </c>
      <c r="C5" s="5">
        <v>8949</v>
      </c>
      <c r="D5" s="5">
        <v>395</v>
      </c>
      <c r="E5" s="5">
        <v>0.44</v>
      </c>
      <c r="F5" s="5">
        <v>10</v>
      </c>
      <c r="G5" s="5">
        <v>2335</v>
      </c>
      <c r="H5" s="5">
        <v>26.1</v>
      </c>
      <c r="I5" s="5">
        <v>66</v>
      </c>
      <c r="J5" s="5">
        <v>2908.51</v>
      </c>
      <c r="K5" s="5" t="s">
        <v>4</v>
      </c>
      <c r="L5" s="5" t="s">
        <v>88</v>
      </c>
      <c r="M5" s="5" t="s">
        <v>90</v>
      </c>
      <c r="N5" s="5" t="s">
        <v>36</v>
      </c>
      <c r="O5" s="5">
        <v>8949</v>
      </c>
      <c r="P5" s="5" t="s">
        <v>29</v>
      </c>
      <c r="Q5" s="5" t="s">
        <v>48</v>
      </c>
      <c r="R5" s="5" t="s">
        <v>31</v>
      </c>
      <c r="S5" s="5" t="s">
        <v>32</v>
      </c>
      <c r="T5" s="5" t="s">
        <v>16</v>
      </c>
    </row>
    <row r="6" spans="1:20" x14ac:dyDescent="0.2">
      <c r="A6" s="5" t="s">
        <v>35</v>
      </c>
      <c r="B6" s="5">
        <v>89478</v>
      </c>
      <c r="C6" s="5">
        <v>8949</v>
      </c>
      <c r="D6" s="5">
        <v>395</v>
      </c>
      <c r="E6" s="5">
        <v>0.44</v>
      </c>
      <c r="F6" s="5">
        <v>10</v>
      </c>
      <c r="G6" s="5">
        <v>2335</v>
      </c>
      <c r="H6" s="5">
        <v>26.1</v>
      </c>
      <c r="I6" s="5">
        <v>66</v>
      </c>
      <c r="J6" s="5">
        <v>2908.51</v>
      </c>
      <c r="K6" s="5" t="s">
        <v>4</v>
      </c>
      <c r="L6" s="5" t="s">
        <v>88</v>
      </c>
      <c r="M6" s="5" t="s">
        <v>91</v>
      </c>
      <c r="N6" s="5" t="s">
        <v>36</v>
      </c>
      <c r="O6" s="5">
        <v>8949</v>
      </c>
      <c r="P6" s="5" t="s">
        <v>29</v>
      </c>
      <c r="Q6" s="5" t="s">
        <v>48</v>
      </c>
      <c r="R6" s="5" t="s">
        <v>31</v>
      </c>
      <c r="S6" s="5" t="s">
        <v>32</v>
      </c>
      <c r="T6" s="5" t="s">
        <v>16</v>
      </c>
    </row>
    <row r="7" spans="1:20" x14ac:dyDescent="0.2">
      <c r="A7" s="5" t="s">
        <v>37</v>
      </c>
      <c r="B7" s="5">
        <v>847180</v>
      </c>
      <c r="C7" s="5">
        <v>122039</v>
      </c>
      <c r="D7" s="5">
        <v>1516</v>
      </c>
      <c r="E7" s="5">
        <v>0.18</v>
      </c>
      <c r="F7" s="5">
        <v>6.9</v>
      </c>
      <c r="G7" s="5">
        <v>5714</v>
      </c>
      <c r="H7" s="5">
        <v>6.74</v>
      </c>
      <c r="I7" s="5">
        <v>8</v>
      </c>
      <c r="J7" s="5">
        <v>383.19</v>
      </c>
      <c r="K7" s="5" t="s">
        <v>4</v>
      </c>
      <c r="L7" s="5" t="s">
        <v>88</v>
      </c>
      <c r="M7" s="5" t="s">
        <v>90</v>
      </c>
      <c r="N7" s="5" t="s">
        <v>37</v>
      </c>
      <c r="O7" s="5">
        <v>122039</v>
      </c>
      <c r="P7" s="5" t="s">
        <v>29</v>
      </c>
      <c r="Q7" s="5" t="s">
        <v>48</v>
      </c>
      <c r="R7" s="5" t="s">
        <v>31</v>
      </c>
      <c r="S7" s="5" t="s">
        <v>32</v>
      </c>
      <c r="T7" s="5" t="s">
        <v>16</v>
      </c>
    </row>
    <row r="8" spans="1:20" x14ac:dyDescent="0.2">
      <c r="A8" s="5" t="s">
        <v>35</v>
      </c>
      <c r="B8" s="5">
        <v>847180</v>
      </c>
      <c r="C8" s="5">
        <v>122039</v>
      </c>
      <c r="D8" s="5">
        <v>1516</v>
      </c>
      <c r="E8" s="5">
        <v>0.18</v>
      </c>
      <c r="F8" s="5">
        <v>6.9</v>
      </c>
      <c r="G8" s="5">
        <v>5714</v>
      </c>
      <c r="H8" s="5">
        <v>6.74</v>
      </c>
      <c r="I8" s="5">
        <v>8</v>
      </c>
      <c r="J8" s="5">
        <v>383.19</v>
      </c>
      <c r="K8" s="5" t="s">
        <v>4</v>
      </c>
      <c r="L8" s="5" t="s">
        <v>88</v>
      </c>
      <c r="M8" s="5" t="s">
        <v>91</v>
      </c>
      <c r="N8" s="5" t="s">
        <v>37</v>
      </c>
      <c r="O8" s="5">
        <v>122039</v>
      </c>
      <c r="P8" s="5" t="s">
        <v>29</v>
      </c>
      <c r="Q8" s="5" t="s">
        <v>48</v>
      </c>
      <c r="R8" s="5" t="s">
        <v>31</v>
      </c>
      <c r="S8" s="5" t="s">
        <v>32</v>
      </c>
      <c r="T8" s="5" t="s">
        <v>16</v>
      </c>
    </row>
    <row r="9" spans="1:20" x14ac:dyDescent="0.2">
      <c r="A9" s="5" t="s">
        <v>38</v>
      </c>
      <c r="B9" s="5">
        <v>1104848</v>
      </c>
      <c r="C9" s="5">
        <v>719047</v>
      </c>
      <c r="D9" s="5">
        <v>1063</v>
      </c>
      <c r="E9" s="5">
        <v>0.1</v>
      </c>
      <c r="F9" s="5">
        <v>1.5</v>
      </c>
      <c r="G9" s="5">
        <v>2830</v>
      </c>
      <c r="H9" s="5">
        <v>2.56</v>
      </c>
      <c r="I9" s="5">
        <v>6</v>
      </c>
      <c r="J9" s="5">
        <v>280.39999999999998</v>
      </c>
      <c r="K9" s="5" t="s">
        <v>4</v>
      </c>
      <c r="L9" s="5" t="s">
        <v>88</v>
      </c>
      <c r="M9" s="5" t="s">
        <v>90</v>
      </c>
      <c r="N9" s="5" t="s">
        <v>38</v>
      </c>
      <c r="O9" s="5">
        <v>719047</v>
      </c>
      <c r="P9" s="5" t="s">
        <v>29</v>
      </c>
      <c r="Q9" s="5" t="s">
        <v>48</v>
      </c>
      <c r="R9" s="5" t="s">
        <v>31</v>
      </c>
      <c r="S9" s="5" t="s">
        <v>32</v>
      </c>
      <c r="T9" s="5" t="s">
        <v>16</v>
      </c>
    </row>
    <row r="10" spans="1:20" x14ac:dyDescent="0.2">
      <c r="A10" s="5" t="s">
        <v>35</v>
      </c>
      <c r="B10" s="5">
        <v>1104848</v>
      </c>
      <c r="C10" s="5">
        <v>719047</v>
      </c>
      <c r="D10" s="5">
        <v>1063</v>
      </c>
      <c r="E10" s="5">
        <v>0.1</v>
      </c>
      <c r="F10" s="5">
        <v>1.5</v>
      </c>
      <c r="G10" s="5">
        <v>2830</v>
      </c>
      <c r="H10" s="5">
        <v>2.56</v>
      </c>
      <c r="I10" s="5">
        <v>6</v>
      </c>
      <c r="J10" s="5">
        <v>280.39999999999998</v>
      </c>
      <c r="K10" s="5" t="s">
        <v>4</v>
      </c>
      <c r="L10" s="5" t="s">
        <v>88</v>
      </c>
      <c r="M10" s="5" t="s">
        <v>91</v>
      </c>
      <c r="N10" s="5" t="s">
        <v>38</v>
      </c>
      <c r="O10" s="5">
        <v>719047</v>
      </c>
      <c r="P10" s="5" t="s">
        <v>29</v>
      </c>
      <c r="Q10" s="5" t="s">
        <v>48</v>
      </c>
      <c r="R10" s="5" t="s">
        <v>31</v>
      </c>
      <c r="S10" s="5" t="s">
        <v>32</v>
      </c>
      <c r="T10" s="5" t="s">
        <v>16</v>
      </c>
    </row>
    <row r="11" spans="1:20" x14ac:dyDescent="0.2">
      <c r="A11" s="5" t="s">
        <v>39</v>
      </c>
      <c r="B11" s="5">
        <v>154138</v>
      </c>
      <c r="C11" s="5">
        <v>63187</v>
      </c>
      <c r="D11" s="5">
        <v>288</v>
      </c>
      <c r="E11" s="5">
        <v>0.19</v>
      </c>
      <c r="F11" s="5">
        <v>2.4</v>
      </c>
      <c r="G11" s="5">
        <v>1106</v>
      </c>
      <c r="H11" s="5">
        <v>7.18</v>
      </c>
      <c r="I11" s="5">
        <v>4</v>
      </c>
      <c r="J11" s="5">
        <v>145.99</v>
      </c>
      <c r="K11" s="5" t="s">
        <v>4</v>
      </c>
      <c r="L11" s="5" t="s">
        <v>88</v>
      </c>
      <c r="M11" s="5" t="s">
        <v>90</v>
      </c>
      <c r="N11" s="5" t="s">
        <v>39</v>
      </c>
      <c r="O11" s="5">
        <v>63187</v>
      </c>
      <c r="P11" s="5" t="s">
        <v>29</v>
      </c>
      <c r="Q11" s="5" t="s">
        <v>48</v>
      </c>
      <c r="R11" s="5" t="s">
        <v>31</v>
      </c>
      <c r="S11" s="5" t="s">
        <v>32</v>
      </c>
      <c r="T11" s="5" t="s">
        <v>16</v>
      </c>
    </row>
    <row r="12" spans="1:20" x14ac:dyDescent="0.2">
      <c r="A12" s="5" t="s">
        <v>35</v>
      </c>
      <c r="B12" s="5">
        <v>154138</v>
      </c>
      <c r="C12" s="5">
        <v>63187</v>
      </c>
      <c r="D12" s="5">
        <v>288</v>
      </c>
      <c r="E12" s="5">
        <v>0.19</v>
      </c>
      <c r="F12" s="5">
        <v>2.4</v>
      </c>
      <c r="G12" s="5">
        <v>1106</v>
      </c>
      <c r="H12" s="5">
        <v>7.18</v>
      </c>
      <c r="I12" s="5">
        <v>4</v>
      </c>
      <c r="J12" s="5">
        <v>145.99</v>
      </c>
      <c r="K12" s="5" t="s">
        <v>4</v>
      </c>
      <c r="L12" s="5" t="s">
        <v>88</v>
      </c>
      <c r="M12" s="5" t="s">
        <v>91</v>
      </c>
      <c r="N12" s="5" t="s">
        <v>39</v>
      </c>
      <c r="O12" s="5">
        <v>63187</v>
      </c>
      <c r="P12" s="5" t="s">
        <v>29</v>
      </c>
      <c r="Q12" s="5" t="s">
        <v>48</v>
      </c>
      <c r="R12" s="5" t="s">
        <v>31</v>
      </c>
      <c r="S12" s="5" t="s">
        <v>32</v>
      </c>
      <c r="T12" s="5" t="s">
        <v>16</v>
      </c>
    </row>
    <row r="13" spans="1:20" x14ac:dyDescent="0.2">
      <c r="A13" s="5" t="s">
        <v>40</v>
      </c>
      <c r="B13" s="5">
        <v>291130</v>
      </c>
      <c r="C13" s="5">
        <v>77144</v>
      </c>
      <c r="D13" s="5">
        <v>461</v>
      </c>
      <c r="E13" s="5">
        <v>0.16</v>
      </c>
      <c r="F13" s="5">
        <v>3.8</v>
      </c>
      <c r="G13" s="5">
        <v>2093</v>
      </c>
      <c r="H13" s="5">
        <v>7.19</v>
      </c>
      <c r="I13" s="5">
        <v>1</v>
      </c>
      <c r="J13" s="5">
        <v>40</v>
      </c>
      <c r="K13" s="5" t="s">
        <v>4</v>
      </c>
      <c r="L13" s="5" t="s">
        <v>88</v>
      </c>
      <c r="M13" s="5" t="s">
        <v>90</v>
      </c>
      <c r="N13" s="5" t="s">
        <v>40</v>
      </c>
      <c r="O13" s="5">
        <v>77144</v>
      </c>
      <c r="P13" s="5" t="s">
        <v>29</v>
      </c>
      <c r="Q13" s="5" t="s">
        <v>48</v>
      </c>
      <c r="R13" s="5" t="s">
        <v>31</v>
      </c>
      <c r="S13" s="5" t="s">
        <v>32</v>
      </c>
      <c r="T13" s="5" t="s">
        <v>16</v>
      </c>
    </row>
    <row r="14" spans="1:20" x14ac:dyDescent="0.2">
      <c r="A14" s="5" t="s">
        <v>35</v>
      </c>
      <c r="B14" s="5">
        <v>291130</v>
      </c>
      <c r="C14" s="5">
        <v>77144</v>
      </c>
      <c r="D14" s="5">
        <v>461</v>
      </c>
      <c r="E14" s="5">
        <v>0.16</v>
      </c>
      <c r="F14" s="5">
        <v>3.8</v>
      </c>
      <c r="G14" s="5">
        <v>2093</v>
      </c>
      <c r="H14" s="5">
        <v>7.19</v>
      </c>
      <c r="I14" s="5">
        <v>1</v>
      </c>
      <c r="J14" s="5">
        <v>40</v>
      </c>
      <c r="K14" s="5" t="s">
        <v>4</v>
      </c>
      <c r="L14" s="5" t="s">
        <v>88</v>
      </c>
      <c r="M14" s="5" t="s">
        <v>91</v>
      </c>
      <c r="N14" s="5" t="s">
        <v>40</v>
      </c>
      <c r="O14" s="5">
        <v>77144</v>
      </c>
      <c r="P14" s="5" t="s">
        <v>29</v>
      </c>
      <c r="Q14" s="5" t="s">
        <v>48</v>
      </c>
      <c r="R14" s="5" t="s">
        <v>31</v>
      </c>
      <c r="S14" s="5" t="s">
        <v>32</v>
      </c>
      <c r="T14" s="5" t="s">
        <v>16</v>
      </c>
    </row>
    <row r="15" spans="1:20" x14ac:dyDescent="0.2">
      <c r="A15" s="5" t="s">
        <v>41</v>
      </c>
      <c r="B15" s="5">
        <v>155159</v>
      </c>
      <c r="C15" s="5">
        <v>43373</v>
      </c>
      <c r="D15" s="5">
        <v>249</v>
      </c>
      <c r="E15" s="5">
        <v>0.16</v>
      </c>
      <c r="F15" s="5">
        <v>3.6</v>
      </c>
      <c r="G15" s="5">
        <v>1181</v>
      </c>
      <c r="H15" s="5">
        <v>7.61</v>
      </c>
      <c r="I15" s="5">
        <v>0</v>
      </c>
      <c r="J15" s="5">
        <v>0</v>
      </c>
      <c r="K15" s="5" t="s">
        <v>4</v>
      </c>
      <c r="L15" s="5" t="s">
        <v>88</v>
      </c>
      <c r="M15" s="5" t="s">
        <v>90</v>
      </c>
      <c r="N15" s="5" t="s">
        <v>41</v>
      </c>
      <c r="O15" s="5">
        <v>43373</v>
      </c>
      <c r="P15" s="5" t="s">
        <v>29</v>
      </c>
      <c r="Q15" s="5" t="s">
        <v>48</v>
      </c>
      <c r="R15" s="5" t="s">
        <v>31</v>
      </c>
      <c r="S15" s="5" t="s">
        <v>32</v>
      </c>
      <c r="T15" s="5" t="s">
        <v>16</v>
      </c>
    </row>
    <row r="16" spans="1:20" x14ac:dyDescent="0.2">
      <c r="A16" s="5" t="s">
        <v>35</v>
      </c>
      <c r="B16" s="5">
        <v>155159</v>
      </c>
      <c r="C16" s="5">
        <v>43373</v>
      </c>
      <c r="D16" s="5">
        <v>249</v>
      </c>
      <c r="E16" s="5">
        <v>0.16</v>
      </c>
      <c r="F16" s="5">
        <v>3.6</v>
      </c>
      <c r="G16" s="5">
        <v>1181</v>
      </c>
      <c r="H16" s="5">
        <v>7.61</v>
      </c>
      <c r="I16" s="5">
        <v>0</v>
      </c>
      <c r="J16" s="5">
        <v>0</v>
      </c>
      <c r="K16" s="5" t="s">
        <v>4</v>
      </c>
      <c r="L16" s="5" t="s">
        <v>88</v>
      </c>
      <c r="M16" s="5" t="s">
        <v>91</v>
      </c>
      <c r="N16" s="5" t="s">
        <v>41</v>
      </c>
      <c r="O16" s="5">
        <v>43373</v>
      </c>
      <c r="P16" s="5" t="s">
        <v>29</v>
      </c>
      <c r="Q16" s="5" t="s">
        <v>48</v>
      </c>
      <c r="R16" s="5" t="s">
        <v>31</v>
      </c>
      <c r="S16" s="5" t="s">
        <v>32</v>
      </c>
      <c r="T16" s="5" t="s">
        <v>16</v>
      </c>
    </row>
    <row r="17" spans="1:20" x14ac:dyDescent="0.2">
      <c r="A17" s="5" t="s">
        <v>42</v>
      </c>
      <c r="B17" s="5">
        <v>66144</v>
      </c>
      <c r="C17" s="5">
        <v>6551</v>
      </c>
      <c r="D17" s="5">
        <v>283</v>
      </c>
      <c r="E17" s="5">
        <v>0.43</v>
      </c>
      <c r="F17" s="5">
        <v>10.1</v>
      </c>
      <c r="G17" s="5">
        <v>1602</v>
      </c>
      <c r="H17" s="5">
        <v>24.22</v>
      </c>
      <c r="I17" s="5">
        <v>27</v>
      </c>
      <c r="J17" s="5">
        <v>1322.08</v>
      </c>
      <c r="K17" s="5" t="s">
        <v>4</v>
      </c>
      <c r="L17" s="5" t="s">
        <v>88</v>
      </c>
      <c r="M17" s="5" t="s">
        <v>90</v>
      </c>
      <c r="N17" s="5" t="s">
        <v>42</v>
      </c>
      <c r="O17" s="5">
        <v>6551</v>
      </c>
      <c r="P17" s="5" t="s">
        <v>29</v>
      </c>
      <c r="Q17" s="5" t="s">
        <v>48</v>
      </c>
      <c r="R17" s="5" t="s">
        <v>31</v>
      </c>
      <c r="S17" s="5" t="s">
        <v>32</v>
      </c>
      <c r="T17" s="5" t="s">
        <v>16</v>
      </c>
    </row>
    <row r="18" spans="1:20" x14ac:dyDescent="0.2">
      <c r="A18" s="5" t="s">
        <v>35</v>
      </c>
      <c r="B18" s="5">
        <v>66144</v>
      </c>
      <c r="C18" s="5">
        <v>6551</v>
      </c>
      <c r="D18" s="5">
        <v>283</v>
      </c>
      <c r="E18" s="5">
        <v>0.43</v>
      </c>
      <c r="F18" s="5">
        <v>10.1</v>
      </c>
      <c r="G18" s="5">
        <v>1602</v>
      </c>
      <c r="H18" s="5">
        <v>24.22</v>
      </c>
      <c r="I18" s="5">
        <v>27</v>
      </c>
      <c r="J18" s="5">
        <v>1322.08</v>
      </c>
      <c r="K18" s="5" t="s">
        <v>4</v>
      </c>
      <c r="L18" s="5" t="s">
        <v>88</v>
      </c>
      <c r="M18" s="5" t="s">
        <v>91</v>
      </c>
      <c r="N18" s="5" t="s">
        <v>42</v>
      </c>
      <c r="O18" s="5">
        <v>6551</v>
      </c>
      <c r="P18" s="5" t="s">
        <v>29</v>
      </c>
      <c r="Q18" s="5" t="s">
        <v>48</v>
      </c>
      <c r="R18" s="5" t="s">
        <v>31</v>
      </c>
      <c r="S18" s="5" t="s">
        <v>32</v>
      </c>
      <c r="T18" s="5" t="s">
        <v>16</v>
      </c>
    </row>
    <row r="19" spans="1:20" x14ac:dyDescent="0.2">
      <c r="A19" s="5" t="s">
        <v>43</v>
      </c>
      <c r="B19" s="5">
        <v>30524</v>
      </c>
      <c r="C19" s="5">
        <v>9507</v>
      </c>
      <c r="D19" s="5">
        <v>65</v>
      </c>
      <c r="E19" s="5">
        <v>0.21</v>
      </c>
      <c r="F19" s="5">
        <v>3.2</v>
      </c>
      <c r="G19" s="5">
        <v>321</v>
      </c>
      <c r="H19" s="5">
        <v>10.52</v>
      </c>
      <c r="I19" s="5">
        <v>1</v>
      </c>
      <c r="J19" s="5">
        <v>40</v>
      </c>
      <c r="K19" s="5" t="s">
        <v>4</v>
      </c>
      <c r="L19" s="5" t="s">
        <v>88</v>
      </c>
      <c r="M19" s="5" t="s">
        <v>90</v>
      </c>
      <c r="N19" s="5" t="s">
        <v>43</v>
      </c>
      <c r="O19" s="5">
        <v>9507</v>
      </c>
      <c r="P19" s="5" t="s">
        <v>29</v>
      </c>
      <c r="Q19" s="5" t="s">
        <v>48</v>
      </c>
      <c r="R19" s="5" t="s">
        <v>31</v>
      </c>
      <c r="S19" s="5" t="s">
        <v>32</v>
      </c>
      <c r="T19" s="5" t="s">
        <v>16</v>
      </c>
    </row>
    <row r="20" spans="1:20" x14ac:dyDescent="0.2">
      <c r="A20" s="5" t="s">
        <v>35</v>
      </c>
      <c r="B20" s="5">
        <v>30524</v>
      </c>
      <c r="C20" s="5">
        <v>9507</v>
      </c>
      <c r="D20" s="5">
        <v>65</v>
      </c>
      <c r="E20" s="5">
        <v>0.21</v>
      </c>
      <c r="F20" s="5">
        <v>3.2</v>
      </c>
      <c r="G20" s="5">
        <v>321</v>
      </c>
      <c r="H20" s="5">
        <v>10.52</v>
      </c>
      <c r="I20" s="5">
        <v>1</v>
      </c>
      <c r="J20" s="5">
        <v>40</v>
      </c>
      <c r="K20" s="5" t="s">
        <v>4</v>
      </c>
      <c r="L20" s="5" t="s">
        <v>88</v>
      </c>
      <c r="M20" s="5" t="s">
        <v>91</v>
      </c>
      <c r="N20" s="5" t="s">
        <v>43</v>
      </c>
      <c r="O20" s="5">
        <v>9507</v>
      </c>
      <c r="P20" s="5" t="s">
        <v>29</v>
      </c>
      <c r="Q20" s="5" t="s">
        <v>48</v>
      </c>
      <c r="R20" s="5" t="s">
        <v>31</v>
      </c>
      <c r="S20" s="5" t="s">
        <v>32</v>
      </c>
      <c r="T20" s="5" t="s">
        <v>16</v>
      </c>
    </row>
    <row r="21" spans="1:20" ht="15.75" customHeight="1" x14ac:dyDescent="0.2">
      <c r="A21" s="5" t="s">
        <v>44</v>
      </c>
      <c r="B21" s="5">
        <v>11273</v>
      </c>
      <c r="C21" s="5">
        <v>3014</v>
      </c>
      <c r="D21" s="5">
        <v>35</v>
      </c>
      <c r="E21" s="5">
        <v>0.31</v>
      </c>
      <c r="F21" s="5">
        <v>3.7</v>
      </c>
      <c r="G21" s="5">
        <v>114</v>
      </c>
      <c r="H21" s="5">
        <v>10.11</v>
      </c>
      <c r="I21" s="5">
        <v>0</v>
      </c>
      <c r="J21" s="5">
        <v>0</v>
      </c>
      <c r="K21" s="5" t="s">
        <v>4</v>
      </c>
      <c r="L21" s="5" t="s">
        <v>88</v>
      </c>
      <c r="M21" s="5" t="s">
        <v>90</v>
      </c>
      <c r="N21" s="5" t="s">
        <v>44</v>
      </c>
      <c r="O21" s="5">
        <v>3014</v>
      </c>
      <c r="P21" s="5" t="s">
        <v>29</v>
      </c>
      <c r="Q21" s="5" t="s">
        <v>48</v>
      </c>
      <c r="R21" s="5" t="s">
        <v>31</v>
      </c>
      <c r="S21" s="5" t="s">
        <v>32</v>
      </c>
      <c r="T21" s="5" t="s">
        <v>16</v>
      </c>
    </row>
    <row r="22" spans="1:20" ht="15.75" customHeight="1" x14ac:dyDescent="0.2">
      <c r="A22" s="5" t="s">
        <v>35</v>
      </c>
      <c r="B22" s="5">
        <v>11273</v>
      </c>
      <c r="C22" s="5">
        <v>3014</v>
      </c>
      <c r="D22" s="5">
        <v>35</v>
      </c>
      <c r="E22" s="5">
        <v>0.31</v>
      </c>
      <c r="F22" s="5">
        <v>3.7</v>
      </c>
      <c r="G22" s="5">
        <v>114</v>
      </c>
      <c r="H22" s="5">
        <v>10.11</v>
      </c>
      <c r="I22" s="5">
        <v>0</v>
      </c>
      <c r="J22" s="5">
        <v>0</v>
      </c>
      <c r="K22" s="5" t="s">
        <v>4</v>
      </c>
      <c r="L22" s="5" t="s">
        <v>88</v>
      </c>
      <c r="M22" s="5" t="s">
        <v>91</v>
      </c>
      <c r="N22" s="5" t="s">
        <v>44</v>
      </c>
      <c r="O22" s="5">
        <v>3014</v>
      </c>
      <c r="P22" s="5" t="s">
        <v>29</v>
      </c>
      <c r="Q22" s="5" t="s">
        <v>48</v>
      </c>
      <c r="R22" s="5" t="s">
        <v>31</v>
      </c>
      <c r="S22" s="5" t="s">
        <v>32</v>
      </c>
      <c r="T22" s="5" t="s">
        <v>16</v>
      </c>
    </row>
    <row r="23" spans="1:20" ht="15.75" customHeight="1" x14ac:dyDescent="0.2">
      <c r="A23" s="5" t="s">
        <v>45</v>
      </c>
      <c r="B23" s="5">
        <v>39120</v>
      </c>
      <c r="C23" s="5">
        <v>10508</v>
      </c>
      <c r="D23" s="5">
        <v>86</v>
      </c>
      <c r="E23" s="5">
        <v>0.22</v>
      </c>
      <c r="F23" s="5">
        <v>3.7</v>
      </c>
      <c r="G23" s="5">
        <v>393</v>
      </c>
      <c r="H23" s="5">
        <v>10.050000000000001</v>
      </c>
      <c r="I23" s="5">
        <v>0</v>
      </c>
      <c r="J23" s="5">
        <v>0</v>
      </c>
      <c r="K23" s="5" t="s">
        <v>4</v>
      </c>
      <c r="L23" s="5" t="s">
        <v>88</v>
      </c>
      <c r="M23" s="5" t="s">
        <v>90</v>
      </c>
      <c r="N23" s="5" t="s">
        <v>45</v>
      </c>
      <c r="O23" s="5">
        <v>10508</v>
      </c>
      <c r="P23" s="5" t="s">
        <v>29</v>
      </c>
      <c r="Q23" s="5" t="s">
        <v>48</v>
      </c>
      <c r="R23" s="5" t="s">
        <v>31</v>
      </c>
      <c r="S23" s="5" t="s">
        <v>32</v>
      </c>
      <c r="T23" s="5" t="s">
        <v>16</v>
      </c>
    </row>
    <row r="24" spans="1:20" ht="15.75" customHeight="1" x14ac:dyDescent="0.2">
      <c r="A24" s="5" t="s">
        <v>35</v>
      </c>
      <c r="B24" s="5">
        <v>39120</v>
      </c>
      <c r="C24" s="5">
        <v>10508</v>
      </c>
      <c r="D24" s="5">
        <v>86</v>
      </c>
      <c r="E24" s="5">
        <v>0.22</v>
      </c>
      <c r="F24" s="5">
        <v>3.7</v>
      </c>
      <c r="G24" s="5">
        <v>393</v>
      </c>
      <c r="H24" s="5">
        <v>10.050000000000001</v>
      </c>
      <c r="I24" s="5">
        <v>0</v>
      </c>
      <c r="J24" s="5">
        <v>0</v>
      </c>
      <c r="K24" s="5" t="s">
        <v>4</v>
      </c>
      <c r="L24" s="5" t="s">
        <v>88</v>
      </c>
      <c r="M24" s="5" t="s">
        <v>91</v>
      </c>
      <c r="N24" s="5" t="s">
        <v>45</v>
      </c>
      <c r="O24" s="5">
        <v>10508</v>
      </c>
      <c r="P24" s="5" t="s">
        <v>29</v>
      </c>
      <c r="Q24" s="5" t="s">
        <v>48</v>
      </c>
      <c r="R24" s="5" t="s">
        <v>31</v>
      </c>
      <c r="S24" s="5" t="s">
        <v>32</v>
      </c>
      <c r="T24" s="5" t="s">
        <v>16</v>
      </c>
    </row>
    <row r="25" spans="1:20" ht="15.75" customHeight="1" x14ac:dyDescent="0.2">
      <c r="A25" s="5" t="s">
        <v>46</v>
      </c>
      <c r="B25" s="5">
        <v>12838</v>
      </c>
      <c r="C25" s="5">
        <v>3775</v>
      </c>
      <c r="D25" s="5">
        <v>30</v>
      </c>
      <c r="E25" s="5">
        <v>0.23</v>
      </c>
      <c r="F25" s="5">
        <v>3.4</v>
      </c>
      <c r="G25" s="5">
        <v>138</v>
      </c>
      <c r="H25" s="5">
        <v>10.75</v>
      </c>
      <c r="I25" s="5">
        <v>0</v>
      </c>
      <c r="J25" s="5">
        <v>0</v>
      </c>
      <c r="K25" s="5" t="s">
        <v>4</v>
      </c>
      <c r="L25" s="5" t="s">
        <v>88</v>
      </c>
      <c r="M25" s="5" t="s">
        <v>90</v>
      </c>
      <c r="N25" s="5" t="s">
        <v>46</v>
      </c>
      <c r="O25" s="5">
        <v>3775</v>
      </c>
      <c r="P25" s="5" t="s">
        <v>29</v>
      </c>
      <c r="Q25" s="5" t="s">
        <v>48</v>
      </c>
      <c r="R25" s="5" t="s">
        <v>31</v>
      </c>
      <c r="S25" s="5" t="s">
        <v>32</v>
      </c>
      <c r="T25" s="5" t="s">
        <v>16</v>
      </c>
    </row>
    <row r="26" spans="1:20" ht="15.75" customHeight="1" x14ac:dyDescent="0.2">
      <c r="A26" s="5" t="s">
        <v>35</v>
      </c>
      <c r="B26" s="5">
        <v>12838</v>
      </c>
      <c r="C26" s="5">
        <v>3775</v>
      </c>
      <c r="D26" s="5">
        <v>30</v>
      </c>
      <c r="E26" s="5">
        <v>0.23</v>
      </c>
      <c r="F26" s="5">
        <v>3.4</v>
      </c>
      <c r="G26" s="5">
        <v>138</v>
      </c>
      <c r="H26" s="5">
        <v>10.75</v>
      </c>
      <c r="I26" s="5">
        <v>0</v>
      </c>
      <c r="J26" s="5">
        <v>0</v>
      </c>
      <c r="K26" s="5" t="s">
        <v>4</v>
      </c>
      <c r="L26" s="5" t="s">
        <v>88</v>
      </c>
      <c r="M26" s="5" t="s">
        <v>91</v>
      </c>
      <c r="N26" s="5" t="s">
        <v>46</v>
      </c>
      <c r="O26" s="5">
        <v>3775</v>
      </c>
      <c r="P26" s="5" t="s">
        <v>29</v>
      </c>
      <c r="Q26" s="5" t="s">
        <v>48</v>
      </c>
      <c r="R26" s="5" t="s">
        <v>31</v>
      </c>
      <c r="S26" s="5" t="s">
        <v>32</v>
      </c>
      <c r="T26" s="5" t="s">
        <v>16</v>
      </c>
    </row>
    <row r="27" spans="1:20" ht="15.75" customHeight="1" x14ac:dyDescent="0.2">
      <c r="A27" s="5" t="s">
        <v>87</v>
      </c>
      <c r="B27" s="5">
        <v>4088930</v>
      </c>
      <c r="C27" s="5">
        <v>1072729</v>
      </c>
      <c r="D27" s="5">
        <v>6823</v>
      </c>
      <c r="E27" s="5">
        <v>0.17</v>
      </c>
      <c r="F27" s="5">
        <v>3.8</v>
      </c>
      <c r="G27" s="5">
        <v>26399</v>
      </c>
      <c r="H27" s="5">
        <v>6.46</v>
      </c>
      <c r="I27" s="5">
        <v>36</v>
      </c>
      <c r="J27" s="5">
        <v>1672.93</v>
      </c>
      <c r="K27" s="5" t="s">
        <v>4</v>
      </c>
      <c r="L27" s="5" t="s">
        <v>92</v>
      </c>
      <c r="M27" s="5" t="s">
        <v>89</v>
      </c>
      <c r="N27" s="5" t="s">
        <v>87</v>
      </c>
      <c r="O27" s="5">
        <v>1072729</v>
      </c>
      <c r="P27" s="5" t="s">
        <v>29</v>
      </c>
      <c r="Q27" s="5" t="s">
        <v>48</v>
      </c>
      <c r="R27" s="5" t="s">
        <v>31</v>
      </c>
      <c r="S27" s="5" t="s">
        <v>32</v>
      </c>
      <c r="T27" s="5" t="s">
        <v>16</v>
      </c>
    </row>
    <row r="28" spans="1:20" ht="15.75" customHeight="1" x14ac:dyDescent="0.2">
      <c r="A28" s="5" t="s">
        <v>34</v>
      </c>
      <c r="B28" s="5">
        <v>1287098</v>
      </c>
      <c r="C28" s="5">
        <v>187058</v>
      </c>
      <c r="D28" s="5">
        <v>2352</v>
      </c>
      <c r="E28" s="5">
        <v>0.18</v>
      </c>
      <c r="F28" s="5">
        <v>6.9</v>
      </c>
      <c r="G28" s="5">
        <v>8571</v>
      </c>
      <c r="H28" s="5">
        <v>6.66</v>
      </c>
      <c r="I28" s="5">
        <v>2</v>
      </c>
      <c r="J28" s="5">
        <v>69.989999999999995</v>
      </c>
      <c r="K28" s="5" t="s">
        <v>4</v>
      </c>
      <c r="L28" s="5" t="s">
        <v>92</v>
      </c>
      <c r="M28" s="5" t="s">
        <v>90</v>
      </c>
      <c r="N28" s="5" t="s">
        <v>34</v>
      </c>
      <c r="O28" s="5">
        <v>187058</v>
      </c>
      <c r="P28" s="5" t="s">
        <v>29</v>
      </c>
      <c r="Q28" s="5" t="s">
        <v>48</v>
      </c>
      <c r="R28" s="5" t="s">
        <v>31</v>
      </c>
      <c r="S28" s="5" t="s">
        <v>32</v>
      </c>
      <c r="T28" s="5" t="s">
        <v>16</v>
      </c>
    </row>
    <row r="29" spans="1:20" ht="15.75" customHeight="1" x14ac:dyDescent="0.2">
      <c r="A29" s="5" t="s">
        <v>35</v>
      </c>
      <c r="B29" s="5">
        <v>1287098</v>
      </c>
      <c r="C29" s="5">
        <v>187058</v>
      </c>
      <c r="D29" s="5">
        <v>2352</v>
      </c>
      <c r="E29" s="5">
        <v>0.18</v>
      </c>
      <c r="F29" s="5">
        <v>6.9</v>
      </c>
      <c r="G29" s="5">
        <v>8571</v>
      </c>
      <c r="H29" s="5">
        <v>6.66</v>
      </c>
      <c r="I29" s="5">
        <v>2</v>
      </c>
      <c r="J29" s="5">
        <v>69.989999999999995</v>
      </c>
      <c r="K29" s="5" t="s">
        <v>4</v>
      </c>
      <c r="L29" s="5" t="s">
        <v>92</v>
      </c>
      <c r="M29" s="5" t="s">
        <v>91</v>
      </c>
      <c r="N29" s="5" t="s">
        <v>34</v>
      </c>
      <c r="O29" s="5">
        <v>187058</v>
      </c>
      <c r="P29" s="5" t="s">
        <v>29</v>
      </c>
      <c r="Q29" s="5" t="s">
        <v>48</v>
      </c>
      <c r="R29" s="5" t="s">
        <v>31</v>
      </c>
      <c r="S29" s="5" t="s">
        <v>32</v>
      </c>
      <c r="T29" s="5" t="s">
        <v>16</v>
      </c>
    </row>
    <row r="30" spans="1:20" ht="15.75" customHeight="1" x14ac:dyDescent="0.2">
      <c r="A30" s="5" t="s">
        <v>36</v>
      </c>
      <c r="B30" s="5">
        <v>89478</v>
      </c>
      <c r="C30" s="5">
        <v>8949</v>
      </c>
      <c r="D30" s="5">
        <v>395</v>
      </c>
      <c r="E30" s="5">
        <v>0.44</v>
      </c>
      <c r="F30" s="5">
        <v>10</v>
      </c>
      <c r="G30" s="5">
        <v>2335</v>
      </c>
      <c r="H30" s="5">
        <v>26.1</v>
      </c>
      <c r="I30" s="5">
        <v>21</v>
      </c>
      <c r="J30" s="5">
        <v>1008.41</v>
      </c>
      <c r="K30" s="5" t="s">
        <v>4</v>
      </c>
      <c r="L30" s="5" t="s">
        <v>92</v>
      </c>
      <c r="M30" s="5" t="s">
        <v>90</v>
      </c>
      <c r="N30" s="5" t="s">
        <v>36</v>
      </c>
      <c r="O30" s="5">
        <v>8949</v>
      </c>
      <c r="P30" s="5" t="s">
        <v>29</v>
      </c>
      <c r="Q30" s="5" t="s">
        <v>48</v>
      </c>
      <c r="R30" s="5" t="s">
        <v>31</v>
      </c>
      <c r="S30" s="5" t="s">
        <v>32</v>
      </c>
      <c r="T30" s="5" t="s">
        <v>16</v>
      </c>
    </row>
    <row r="31" spans="1:20" ht="15.75" customHeight="1" x14ac:dyDescent="0.2">
      <c r="A31" s="5" t="s">
        <v>35</v>
      </c>
      <c r="B31" s="5">
        <v>89478</v>
      </c>
      <c r="C31" s="5">
        <v>8949</v>
      </c>
      <c r="D31" s="5">
        <v>395</v>
      </c>
      <c r="E31" s="5">
        <v>0.44</v>
      </c>
      <c r="F31" s="5">
        <v>10</v>
      </c>
      <c r="G31" s="5">
        <v>2335</v>
      </c>
      <c r="H31" s="5">
        <v>26.1</v>
      </c>
      <c r="I31" s="5">
        <v>21</v>
      </c>
      <c r="J31" s="5">
        <v>1008.41</v>
      </c>
      <c r="K31" s="5" t="s">
        <v>4</v>
      </c>
      <c r="L31" s="5" t="s">
        <v>92</v>
      </c>
      <c r="M31" s="5" t="s">
        <v>91</v>
      </c>
      <c r="N31" s="5" t="s">
        <v>36</v>
      </c>
      <c r="O31" s="5">
        <v>8949</v>
      </c>
      <c r="P31" s="5" t="s">
        <v>29</v>
      </c>
      <c r="Q31" s="5" t="s">
        <v>48</v>
      </c>
      <c r="R31" s="5" t="s">
        <v>31</v>
      </c>
      <c r="S31" s="5" t="s">
        <v>32</v>
      </c>
      <c r="T31" s="5" t="s">
        <v>16</v>
      </c>
    </row>
    <row r="32" spans="1:20" ht="15.75" customHeight="1" x14ac:dyDescent="0.2">
      <c r="A32" s="5" t="s">
        <v>37</v>
      </c>
      <c r="B32" s="5">
        <v>847180</v>
      </c>
      <c r="C32" s="5">
        <v>122039</v>
      </c>
      <c r="D32" s="5">
        <v>1516</v>
      </c>
      <c r="E32" s="5">
        <v>0.18</v>
      </c>
      <c r="F32" s="5">
        <v>6.9</v>
      </c>
      <c r="G32" s="5">
        <v>5714</v>
      </c>
      <c r="H32" s="5">
        <v>6.74</v>
      </c>
      <c r="I32" s="5">
        <v>1</v>
      </c>
      <c r="J32" s="5">
        <v>40.5</v>
      </c>
      <c r="K32" s="5" t="s">
        <v>4</v>
      </c>
      <c r="L32" s="5" t="s">
        <v>92</v>
      </c>
      <c r="M32" s="5" t="s">
        <v>90</v>
      </c>
      <c r="N32" s="5" t="s">
        <v>37</v>
      </c>
      <c r="O32" s="5">
        <v>122039</v>
      </c>
      <c r="P32" s="5" t="s">
        <v>29</v>
      </c>
      <c r="Q32" s="5" t="s">
        <v>48</v>
      </c>
      <c r="R32" s="5" t="s">
        <v>31</v>
      </c>
      <c r="S32" s="5" t="s">
        <v>32</v>
      </c>
      <c r="T32" s="5" t="s">
        <v>16</v>
      </c>
    </row>
    <row r="33" spans="1:20" ht="15.75" customHeight="1" x14ac:dyDescent="0.2">
      <c r="A33" s="5" t="s">
        <v>35</v>
      </c>
      <c r="B33" s="5">
        <v>847180</v>
      </c>
      <c r="C33" s="5">
        <v>122039</v>
      </c>
      <c r="D33" s="5">
        <v>1516</v>
      </c>
      <c r="E33" s="5">
        <v>0.18</v>
      </c>
      <c r="F33" s="5">
        <v>6.9</v>
      </c>
      <c r="G33" s="5">
        <v>5714</v>
      </c>
      <c r="H33" s="5">
        <v>6.74</v>
      </c>
      <c r="I33" s="5">
        <v>1</v>
      </c>
      <c r="J33" s="5">
        <v>40.5</v>
      </c>
      <c r="K33" s="5" t="s">
        <v>4</v>
      </c>
      <c r="L33" s="5" t="s">
        <v>92</v>
      </c>
      <c r="M33" s="5" t="s">
        <v>91</v>
      </c>
      <c r="N33" s="5" t="s">
        <v>37</v>
      </c>
      <c r="O33" s="5">
        <v>122039</v>
      </c>
      <c r="P33" s="5" t="s">
        <v>29</v>
      </c>
      <c r="Q33" s="5" t="s">
        <v>48</v>
      </c>
      <c r="R33" s="5" t="s">
        <v>31</v>
      </c>
      <c r="S33" s="5" t="s">
        <v>32</v>
      </c>
      <c r="T33" s="5" t="s">
        <v>16</v>
      </c>
    </row>
    <row r="34" spans="1:20" ht="15.75" customHeight="1" x14ac:dyDescent="0.2">
      <c r="A34" s="5" t="s">
        <v>38</v>
      </c>
      <c r="B34" s="5">
        <v>1104848</v>
      </c>
      <c r="C34" s="5">
        <v>719047</v>
      </c>
      <c r="D34" s="5">
        <v>1063</v>
      </c>
      <c r="E34" s="5">
        <v>0.1</v>
      </c>
      <c r="F34" s="5">
        <v>1.5</v>
      </c>
      <c r="G34" s="5">
        <v>2830</v>
      </c>
      <c r="H34" s="5">
        <v>2.56</v>
      </c>
      <c r="I34" s="5">
        <v>1</v>
      </c>
      <c r="J34" s="5">
        <v>44</v>
      </c>
      <c r="K34" s="5" t="s">
        <v>4</v>
      </c>
      <c r="L34" s="5" t="s">
        <v>92</v>
      </c>
      <c r="M34" s="5" t="s">
        <v>90</v>
      </c>
      <c r="N34" s="5" t="s">
        <v>38</v>
      </c>
      <c r="O34" s="5">
        <v>719047</v>
      </c>
      <c r="P34" s="5" t="s">
        <v>29</v>
      </c>
      <c r="Q34" s="5" t="s">
        <v>48</v>
      </c>
      <c r="R34" s="5" t="s">
        <v>31</v>
      </c>
      <c r="S34" s="5" t="s">
        <v>32</v>
      </c>
      <c r="T34" s="5" t="s">
        <v>16</v>
      </c>
    </row>
    <row r="35" spans="1:20" ht="15.75" customHeight="1" x14ac:dyDescent="0.2">
      <c r="A35" s="5" t="s">
        <v>35</v>
      </c>
      <c r="B35" s="5">
        <v>1104848</v>
      </c>
      <c r="C35" s="5">
        <v>719047</v>
      </c>
      <c r="D35" s="5">
        <v>1063</v>
      </c>
      <c r="E35" s="5">
        <v>0.1</v>
      </c>
      <c r="F35" s="5">
        <v>1.5</v>
      </c>
      <c r="G35" s="5">
        <v>2830</v>
      </c>
      <c r="H35" s="5">
        <v>2.56</v>
      </c>
      <c r="I35" s="5">
        <v>1</v>
      </c>
      <c r="J35" s="5">
        <v>44</v>
      </c>
      <c r="K35" s="5" t="s">
        <v>4</v>
      </c>
      <c r="L35" s="5" t="s">
        <v>92</v>
      </c>
      <c r="M35" s="5" t="s">
        <v>91</v>
      </c>
      <c r="N35" s="5" t="s">
        <v>38</v>
      </c>
      <c r="O35" s="5">
        <v>719047</v>
      </c>
      <c r="P35" s="5" t="s">
        <v>29</v>
      </c>
      <c r="Q35" s="5" t="s">
        <v>48</v>
      </c>
      <c r="R35" s="5" t="s">
        <v>31</v>
      </c>
      <c r="S35" s="5" t="s">
        <v>32</v>
      </c>
      <c r="T35" s="5" t="s">
        <v>16</v>
      </c>
    </row>
    <row r="36" spans="1:20" ht="15.75" customHeight="1" x14ac:dyDescent="0.2">
      <c r="A36" s="5" t="s">
        <v>39</v>
      </c>
      <c r="B36" s="5">
        <v>154138</v>
      </c>
      <c r="C36" s="5">
        <v>63187</v>
      </c>
      <c r="D36" s="5">
        <v>288</v>
      </c>
      <c r="E36" s="5">
        <v>0.19</v>
      </c>
      <c r="F36" s="5">
        <v>2.4</v>
      </c>
      <c r="G36" s="5">
        <v>1106</v>
      </c>
      <c r="H36" s="5">
        <v>7.18</v>
      </c>
      <c r="I36" s="5">
        <v>0</v>
      </c>
      <c r="J36" s="5">
        <v>0</v>
      </c>
      <c r="K36" s="5" t="s">
        <v>4</v>
      </c>
      <c r="L36" s="5" t="s">
        <v>92</v>
      </c>
      <c r="M36" s="5" t="s">
        <v>90</v>
      </c>
      <c r="N36" s="5" t="s">
        <v>39</v>
      </c>
      <c r="O36" s="5">
        <v>63187</v>
      </c>
      <c r="P36" s="5" t="s">
        <v>29</v>
      </c>
      <c r="Q36" s="5" t="s">
        <v>48</v>
      </c>
      <c r="R36" s="5" t="s">
        <v>31</v>
      </c>
      <c r="S36" s="5" t="s">
        <v>32</v>
      </c>
      <c r="T36" s="5" t="s">
        <v>16</v>
      </c>
    </row>
    <row r="37" spans="1:20" ht="15.75" customHeight="1" x14ac:dyDescent="0.2">
      <c r="A37" s="5" t="s">
        <v>35</v>
      </c>
      <c r="B37" s="5">
        <v>154138</v>
      </c>
      <c r="C37" s="5">
        <v>63187</v>
      </c>
      <c r="D37" s="5">
        <v>288</v>
      </c>
      <c r="E37" s="5">
        <v>0.19</v>
      </c>
      <c r="F37" s="5">
        <v>2.4</v>
      </c>
      <c r="G37" s="5">
        <v>1106</v>
      </c>
      <c r="H37" s="5">
        <v>7.18</v>
      </c>
      <c r="I37" s="5">
        <v>0</v>
      </c>
      <c r="J37" s="5">
        <v>0</v>
      </c>
      <c r="K37" s="5" t="s">
        <v>4</v>
      </c>
      <c r="L37" s="5" t="s">
        <v>92</v>
      </c>
      <c r="M37" s="5" t="s">
        <v>91</v>
      </c>
      <c r="N37" s="5" t="s">
        <v>39</v>
      </c>
      <c r="O37" s="5">
        <v>63187</v>
      </c>
      <c r="P37" s="5" t="s">
        <v>29</v>
      </c>
      <c r="Q37" s="5" t="s">
        <v>48</v>
      </c>
      <c r="R37" s="5" t="s">
        <v>31</v>
      </c>
      <c r="S37" s="5" t="s">
        <v>32</v>
      </c>
      <c r="T37" s="5" t="s">
        <v>16</v>
      </c>
    </row>
    <row r="38" spans="1:20" ht="15.75" customHeight="1" x14ac:dyDescent="0.2">
      <c r="A38" s="5" t="s">
        <v>40</v>
      </c>
      <c r="B38" s="5">
        <v>291130</v>
      </c>
      <c r="C38" s="5">
        <v>77144</v>
      </c>
      <c r="D38" s="5">
        <v>461</v>
      </c>
      <c r="E38" s="5">
        <v>0.16</v>
      </c>
      <c r="F38" s="5">
        <v>3.8</v>
      </c>
      <c r="G38" s="5">
        <v>2093</v>
      </c>
      <c r="H38" s="5">
        <v>7.19</v>
      </c>
      <c r="I38" s="5">
        <v>0</v>
      </c>
      <c r="J38" s="5">
        <v>0</v>
      </c>
      <c r="K38" s="5" t="s">
        <v>4</v>
      </c>
      <c r="L38" s="5" t="s">
        <v>92</v>
      </c>
      <c r="M38" s="5" t="s">
        <v>90</v>
      </c>
      <c r="N38" s="5" t="s">
        <v>40</v>
      </c>
      <c r="O38" s="5">
        <v>77144</v>
      </c>
      <c r="P38" s="5" t="s">
        <v>29</v>
      </c>
      <c r="Q38" s="5" t="s">
        <v>48</v>
      </c>
      <c r="R38" s="5" t="s">
        <v>31</v>
      </c>
      <c r="S38" s="5" t="s">
        <v>32</v>
      </c>
      <c r="T38" s="5" t="s">
        <v>16</v>
      </c>
    </row>
    <row r="39" spans="1:20" ht="15.75" customHeight="1" x14ac:dyDescent="0.2">
      <c r="A39" s="5" t="s">
        <v>35</v>
      </c>
      <c r="B39" s="5">
        <v>291130</v>
      </c>
      <c r="C39" s="5">
        <v>77144</v>
      </c>
      <c r="D39" s="5">
        <v>461</v>
      </c>
      <c r="E39" s="5">
        <v>0.16</v>
      </c>
      <c r="F39" s="5">
        <v>3.8</v>
      </c>
      <c r="G39" s="5">
        <v>2093</v>
      </c>
      <c r="H39" s="5">
        <v>7.19</v>
      </c>
      <c r="I39" s="5">
        <v>0</v>
      </c>
      <c r="J39" s="5">
        <v>0</v>
      </c>
      <c r="K39" s="5" t="s">
        <v>4</v>
      </c>
      <c r="L39" s="5" t="s">
        <v>92</v>
      </c>
      <c r="M39" s="5" t="s">
        <v>91</v>
      </c>
      <c r="N39" s="5" t="s">
        <v>40</v>
      </c>
      <c r="O39" s="5">
        <v>77144</v>
      </c>
      <c r="P39" s="5" t="s">
        <v>29</v>
      </c>
      <c r="Q39" s="5" t="s">
        <v>48</v>
      </c>
      <c r="R39" s="5" t="s">
        <v>31</v>
      </c>
      <c r="S39" s="5" t="s">
        <v>32</v>
      </c>
      <c r="T39" s="5" t="s">
        <v>16</v>
      </c>
    </row>
    <row r="40" spans="1:20" ht="15.75" customHeight="1" x14ac:dyDescent="0.2">
      <c r="A40" s="5" t="s">
        <v>41</v>
      </c>
      <c r="B40" s="5">
        <v>155159</v>
      </c>
      <c r="C40" s="5">
        <v>43373</v>
      </c>
      <c r="D40" s="5">
        <v>249</v>
      </c>
      <c r="E40" s="5">
        <v>0.16</v>
      </c>
      <c r="F40" s="5">
        <v>3.6</v>
      </c>
      <c r="G40" s="5">
        <v>1181</v>
      </c>
      <c r="H40" s="5">
        <v>7.61</v>
      </c>
      <c r="I40" s="5">
        <v>0</v>
      </c>
      <c r="J40" s="5">
        <v>0</v>
      </c>
      <c r="K40" s="5" t="s">
        <v>4</v>
      </c>
      <c r="L40" s="5" t="s">
        <v>92</v>
      </c>
      <c r="M40" s="5" t="s">
        <v>90</v>
      </c>
      <c r="N40" s="5" t="s">
        <v>41</v>
      </c>
      <c r="O40" s="5">
        <v>43373</v>
      </c>
      <c r="P40" s="5" t="s">
        <v>29</v>
      </c>
      <c r="Q40" s="5" t="s">
        <v>48</v>
      </c>
      <c r="R40" s="5" t="s">
        <v>31</v>
      </c>
      <c r="S40" s="5" t="s">
        <v>32</v>
      </c>
      <c r="T40" s="5" t="s">
        <v>16</v>
      </c>
    </row>
    <row r="41" spans="1:20" ht="15.75" customHeight="1" x14ac:dyDescent="0.2">
      <c r="A41" s="5" t="s">
        <v>35</v>
      </c>
      <c r="B41" s="5">
        <v>155159</v>
      </c>
      <c r="C41" s="5">
        <v>43373</v>
      </c>
      <c r="D41" s="5">
        <v>249</v>
      </c>
      <c r="E41" s="5">
        <v>0.16</v>
      </c>
      <c r="F41" s="5">
        <v>3.6</v>
      </c>
      <c r="G41" s="5">
        <v>1181</v>
      </c>
      <c r="H41" s="5">
        <v>7.61</v>
      </c>
      <c r="I41" s="5">
        <v>0</v>
      </c>
      <c r="J41" s="5">
        <v>0</v>
      </c>
      <c r="K41" s="5" t="s">
        <v>4</v>
      </c>
      <c r="L41" s="5" t="s">
        <v>92</v>
      </c>
      <c r="M41" s="5" t="s">
        <v>91</v>
      </c>
      <c r="N41" s="5" t="s">
        <v>41</v>
      </c>
      <c r="O41" s="5">
        <v>43373</v>
      </c>
      <c r="P41" s="5" t="s">
        <v>29</v>
      </c>
      <c r="Q41" s="5" t="s">
        <v>48</v>
      </c>
      <c r="R41" s="5" t="s">
        <v>31</v>
      </c>
      <c r="S41" s="5" t="s">
        <v>32</v>
      </c>
      <c r="T41" s="5" t="s">
        <v>16</v>
      </c>
    </row>
    <row r="42" spans="1:20" ht="15.75" customHeight="1" x14ac:dyDescent="0.2">
      <c r="A42" s="5" t="s">
        <v>42</v>
      </c>
      <c r="B42" s="5">
        <v>66144</v>
      </c>
      <c r="C42" s="5">
        <v>6551</v>
      </c>
      <c r="D42" s="5">
        <v>283</v>
      </c>
      <c r="E42" s="5">
        <v>0.43</v>
      </c>
      <c r="F42" s="5">
        <v>10.1</v>
      </c>
      <c r="G42" s="5">
        <v>1602</v>
      </c>
      <c r="H42" s="5">
        <v>24.22</v>
      </c>
      <c r="I42" s="5">
        <v>11</v>
      </c>
      <c r="J42" s="5">
        <v>510.03</v>
      </c>
      <c r="K42" s="5" t="s">
        <v>4</v>
      </c>
      <c r="L42" s="5" t="s">
        <v>92</v>
      </c>
      <c r="M42" s="5" t="s">
        <v>90</v>
      </c>
      <c r="N42" s="5" t="s">
        <v>42</v>
      </c>
      <c r="O42" s="5">
        <v>6551</v>
      </c>
      <c r="P42" s="5" t="s">
        <v>29</v>
      </c>
      <c r="Q42" s="5" t="s">
        <v>48</v>
      </c>
      <c r="R42" s="5" t="s">
        <v>31</v>
      </c>
      <c r="S42" s="5" t="s">
        <v>32</v>
      </c>
      <c r="T42" s="5" t="s">
        <v>16</v>
      </c>
    </row>
    <row r="43" spans="1:20" ht="15.75" customHeight="1" x14ac:dyDescent="0.2">
      <c r="A43" s="5" t="s">
        <v>35</v>
      </c>
      <c r="B43" s="5">
        <v>66144</v>
      </c>
      <c r="C43" s="5">
        <v>6551</v>
      </c>
      <c r="D43" s="5">
        <v>283</v>
      </c>
      <c r="E43" s="5">
        <v>0.43</v>
      </c>
      <c r="F43" s="5">
        <v>10.1</v>
      </c>
      <c r="G43" s="5">
        <v>1602</v>
      </c>
      <c r="H43" s="5">
        <v>24.22</v>
      </c>
      <c r="I43" s="5">
        <v>11</v>
      </c>
      <c r="J43" s="5">
        <v>510.03</v>
      </c>
      <c r="K43" s="5" t="s">
        <v>4</v>
      </c>
      <c r="L43" s="5" t="s">
        <v>92</v>
      </c>
      <c r="M43" s="5" t="s">
        <v>91</v>
      </c>
      <c r="N43" s="5" t="s">
        <v>42</v>
      </c>
      <c r="O43" s="5">
        <v>6551</v>
      </c>
      <c r="P43" s="5" t="s">
        <v>29</v>
      </c>
      <c r="Q43" s="5" t="s">
        <v>48</v>
      </c>
      <c r="R43" s="5" t="s">
        <v>31</v>
      </c>
      <c r="S43" s="5" t="s">
        <v>32</v>
      </c>
      <c r="T43" s="5" t="s">
        <v>16</v>
      </c>
    </row>
    <row r="44" spans="1:20" ht="15.75" customHeight="1" x14ac:dyDescent="0.2">
      <c r="A44" s="5" t="s">
        <v>43</v>
      </c>
      <c r="B44" s="5">
        <v>30524</v>
      </c>
      <c r="C44" s="5">
        <v>9507</v>
      </c>
      <c r="D44" s="5">
        <v>65</v>
      </c>
      <c r="E44" s="5">
        <v>0.21</v>
      </c>
      <c r="F44" s="5">
        <v>3.2</v>
      </c>
      <c r="G44" s="5">
        <v>321</v>
      </c>
      <c r="H44" s="5">
        <v>10.52</v>
      </c>
      <c r="I44" s="5">
        <v>0</v>
      </c>
      <c r="J44" s="5">
        <v>0</v>
      </c>
      <c r="K44" s="5" t="s">
        <v>4</v>
      </c>
      <c r="L44" s="5" t="s">
        <v>92</v>
      </c>
      <c r="M44" s="5" t="s">
        <v>90</v>
      </c>
      <c r="N44" s="5" t="s">
        <v>43</v>
      </c>
      <c r="O44" s="5">
        <v>9507</v>
      </c>
      <c r="P44" s="5" t="s">
        <v>29</v>
      </c>
      <c r="Q44" s="5" t="s">
        <v>48</v>
      </c>
      <c r="R44" s="5" t="s">
        <v>31</v>
      </c>
      <c r="S44" s="5" t="s">
        <v>32</v>
      </c>
      <c r="T44" s="5" t="s">
        <v>16</v>
      </c>
    </row>
    <row r="45" spans="1:20" ht="15.75" customHeight="1" x14ac:dyDescent="0.2">
      <c r="A45" s="5" t="s">
        <v>35</v>
      </c>
      <c r="B45" s="5">
        <v>30524</v>
      </c>
      <c r="C45" s="5">
        <v>9507</v>
      </c>
      <c r="D45" s="5">
        <v>65</v>
      </c>
      <c r="E45" s="5">
        <v>0.21</v>
      </c>
      <c r="F45" s="5">
        <v>3.2</v>
      </c>
      <c r="G45" s="5">
        <v>321</v>
      </c>
      <c r="H45" s="5">
        <v>10.52</v>
      </c>
      <c r="I45" s="5">
        <v>0</v>
      </c>
      <c r="J45" s="5">
        <v>0</v>
      </c>
      <c r="K45" s="5" t="s">
        <v>4</v>
      </c>
      <c r="L45" s="5" t="s">
        <v>92</v>
      </c>
      <c r="M45" s="5" t="s">
        <v>91</v>
      </c>
      <c r="N45" s="5" t="s">
        <v>43</v>
      </c>
      <c r="O45" s="5">
        <v>9507</v>
      </c>
      <c r="P45" s="5" t="s">
        <v>29</v>
      </c>
      <c r="Q45" s="5" t="s">
        <v>48</v>
      </c>
      <c r="R45" s="5" t="s">
        <v>31</v>
      </c>
      <c r="S45" s="5" t="s">
        <v>32</v>
      </c>
      <c r="T45" s="5" t="s">
        <v>16</v>
      </c>
    </row>
    <row r="46" spans="1:20" ht="15.75" customHeight="1" x14ac:dyDescent="0.2">
      <c r="A46" s="5" t="s">
        <v>44</v>
      </c>
      <c r="B46" s="5">
        <v>11273</v>
      </c>
      <c r="C46" s="5">
        <v>3014</v>
      </c>
      <c r="D46" s="5">
        <v>35</v>
      </c>
      <c r="E46" s="5">
        <v>0.31</v>
      </c>
      <c r="F46" s="5">
        <v>3.7</v>
      </c>
      <c r="G46" s="5">
        <v>114</v>
      </c>
      <c r="H46" s="5">
        <v>10.11</v>
      </c>
      <c r="I46" s="5">
        <v>0</v>
      </c>
      <c r="J46" s="5">
        <v>0</v>
      </c>
      <c r="K46" s="5" t="s">
        <v>4</v>
      </c>
      <c r="L46" s="5" t="s">
        <v>92</v>
      </c>
      <c r="M46" s="5" t="s">
        <v>90</v>
      </c>
      <c r="N46" s="5" t="s">
        <v>44</v>
      </c>
      <c r="O46" s="5">
        <v>3014</v>
      </c>
      <c r="P46" s="5" t="s">
        <v>29</v>
      </c>
      <c r="Q46" s="5" t="s">
        <v>48</v>
      </c>
      <c r="R46" s="5" t="s">
        <v>31</v>
      </c>
      <c r="S46" s="5" t="s">
        <v>32</v>
      </c>
      <c r="T46" s="5" t="s">
        <v>16</v>
      </c>
    </row>
    <row r="47" spans="1:20" ht="15.75" customHeight="1" x14ac:dyDescent="0.2">
      <c r="A47" s="5" t="s">
        <v>35</v>
      </c>
      <c r="B47" s="5">
        <v>11273</v>
      </c>
      <c r="C47" s="5">
        <v>3014</v>
      </c>
      <c r="D47" s="5">
        <v>35</v>
      </c>
      <c r="E47" s="5">
        <v>0.31</v>
      </c>
      <c r="F47" s="5">
        <v>3.7</v>
      </c>
      <c r="G47" s="5">
        <v>114</v>
      </c>
      <c r="H47" s="5">
        <v>10.11</v>
      </c>
      <c r="I47" s="5">
        <v>0</v>
      </c>
      <c r="J47" s="5">
        <v>0</v>
      </c>
      <c r="K47" s="5" t="s">
        <v>4</v>
      </c>
      <c r="L47" s="5" t="s">
        <v>92</v>
      </c>
      <c r="M47" s="5" t="s">
        <v>91</v>
      </c>
      <c r="N47" s="5" t="s">
        <v>44</v>
      </c>
      <c r="O47" s="5">
        <v>3014</v>
      </c>
      <c r="P47" s="5" t="s">
        <v>29</v>
      </c>
      <c r="Q47" s="5" t="s">
        <v>48</v>
      </c>
      <c r="R47" s="5" t="s">
        <v>31</v>
      </c>
      <c r="S47" s="5" t="s">
        <v>32</v>
      </c>
      <c r="T47" s="5" t="s">
        <v>16</v>
      </c>
    </row>
    <row r="48" spans="1:20" ht="15.75" customHeight="1" x14ac:dyDescent="0.2">
      <c r="A48" s="5" t="s">
        <v>45</v>
      </c>
      <c r="B48" s="5">
        <v>39120</v>
      </c>
      <c r="C48" s="5">
        <v>10508</v>
      </c>
      <c r="D48" s="5">
        <v>86</v>
      </c>
      <c r="E48" s="5">
        <v>0.22</v>
      </c>
      <c r="F48" s="5">
        <v>3.7</v>
      </c>
      <c r="G48" s="5">
        <v>393</v>
      </c>
      <c r="H48" s="5">
        <v>10.050000000000001</v>
      </c>
      <c r="I48" s="5">
        <v>0</v>
      </c>
      <c r="J48" s="5">
        <v>0</v>
      </c>
      <c r="K48" s="5" t="s">
        <v>4</v>
      </c>
      <c r="L48" s="5" t="s">
        <v>92</v>
      </c>
      <c r="M48" s="5" t="s">
        <v>90</v>
      </c>
      <c r="N48" s="5" t="s">
        <v>45</v>
      </c>
      <c r="O48" s="5">
        <v>10508</v>
      </c>
      <c r="P48" s="5" t="s">
        <v>29</v>
      </c>
      <c r="Q48" s="5" t="s">
        <v>48</v>
      </c>
      <c r="R48" s="5" t="s">
        <v>31</v>
      </c>
      <c r="S48" s="5" t="s">
        <v>32</v>
      </c>
      <c r="T48" s="5" t="s">
        <v>16</v>
      </c>
    </row>
    <row r="49" spans="1:20" ht="15.75" customHeight="1" x14ac:dyDescent="0.2">
      <c r="A49" s="5" t="s">
        <v>35</v>
      </c>
      <c r="B49" s="5">
        <v>39120</v>
      </c>
      <c r="C49" s="5">
        <v>10508</v>
      </c>
      <c r="D49" s="5">
        <v>86</v>
      </c>
      <c r="E49" s="5">
        <v>0.22</v>
      </c>
      <c r="F49" s="5">
        <v>3.7</v>
      </c>
      <c r="G49" s="5">
        <v>393</v>
      </c>
      <c r="H49" s="5">
        <v>10.050000000000001</v>
      </c>
      <c r="I49" s="5">
        <v>0</v>
      </c>
      <c r="J49" s="5">
        <v>0</v>
      </c>
      <c r="K49" s="5" t="s">
        <v>4</v>
      </c>
      <c r="L49" s="5" t="s">
        <v>92</v>
      </c>
      <c r="M49" s="5" t="s">
        <v>91</v>
      </c>
      <c r="N49" s="5" t="s">
        <v>45</v>
      </c>
      <c r="O49" s="5">
        <v>10508</v>
      </c>
      <c r="P49" s="5" t="s">
        <v>29</v>
      </c>
      <c r="Q49" s="5" t="s">
        <v>48</v>
      </c>
      <c r="R49" s="5" t="s">
        <v>31</v>
      </c>
      <c r="S49" s="5" t="s">
        <v>32</v>
      </c>
      <c r="T49" s="5" t="s">
        <v>16</v>
      </c>
    </row>
    <row r="50" spans="1:20" ht="15.75" customHeight="1" x14ac:dyDescent="0.2">
      <c r="A50" s="5" t="s">
        <v>46</v>
      </c>
      <c r="B50" s="5">
        <v>12838</v>
      </c>
      <c r="C50" s="5">
        <v>3775</v>
      </c>
      <c r="D50" s="5">
        <v>30</v>
      </c>
      <c r="E50" s="5">
        <v>0.23</v>
      </c>
      <c r="F50" s="5">
        <v>3.4</v>
      </c>
      <c r="G50" s="5">
        <v>138</v>
      </c>
      <c r="H50" s="5">
        <v>10.75</v>
      </c>
      <c r="I50" s="5">
        <v>0</v>
      </c>
      <c r="J50" s="5">
        <v>0</v>
      </c>
      <c r="K50" s="5" t="s">
        <v>4</v>
      </c>
      <c r="L50" s="5" t="s">
        <v>92</v>
      </c>
      <c r="M50" s="5" t="s">
        <v>90</v>
      </c>
      <c r="N50" s="5" t="s">
        <v>46</v>
      </c>
      <c r="O50" s="5">
        <v>3775</v>
      </c>
      <c r="P50" s="5" t="s">
        <v>29</v>
      </c>
      <c r="Q50" s="5" t="s">
        <v>48</v>
      </c>
      <c r="R50" s="5" t="s">
        <v>31</v>
      </c>
      <c r="S50" s="5" t="s">
        <v>32</v>
      </c>
      <c r="T50" s="5" t="s">
        <v>16</v>
      </c>
    </row>
    <row r="51" spans="1:20" ht="15.75" customHeight="1" x14ac:dyDescent="0.2">
      <c r="A51" s="5" t="s">
        <v>35</v>
      </c>
      <c r="B51" s="5">
        <v>12838</v>
      </c>
      <c r="C51" s="5">
        <v>3775</v>
      </c>
      <c r="D51" s="5">
        <v>30</v>
      </c>
      <c r="E51" s="5">
        <v>0.23</v>
      </c>
      <c r="F51" s="5">
        <v>3.4</v>
      </c>
      <c r="G51" s="5">
        <v>138</v>
      </c>
      <c r="H51" s="5">
        <v>10.75</v>
      </c>
      <c r="I51" s="5">
        <v>0</v>
      </c>
      <c r="J51" s="5">
        <v>0</v>
      </c>
      <c r="K51" s="5" t="s">
        <v>4</v>
      </c>
      <c r="L51" s="5" t="s">
        <v>92</v>
      </c>
      <c r="M51" s="5" t="s">
        <v>91</v>
      </c>
      <c r="N51" s="5" t="s">
        <v>46</v>
      </c>
      <c r="O51" s="5">
        <v>3775</v>
      </c>
      <c r="P51" s="5" t="s">
        <v>29</v>
      </c>
      <c r="Q51" s="5" t="s">
        <v>48</v>
      </c>
      <c r="R51" s="5" t="s">
        <v>31</v>
      </c>
      <c r="S51" s="5" t="s">
        <v>32</v>
      </c>
      <c r="T51" s="5" t="s">
        <v>16</v>
      </c>
    </row>
    <row r="52" spans="1:20" ht="15.75" customHeight="1" x14ac:dyDescent="0.2">
      <c r="A52" s="5" t="s">
        <v>87</v>
      </c>
      <c r="B52" s="5">
        <v>4088930</v>
      </c>
      <c r="C52" s="5">
        <v>1072729</v>
      </c>
      <c r="D52" s="5">
        <v>6823</v>
      </c>
      <c r="E52" s="5">
        <v>0.17</v>
      </c>
      <c r="F52" s="5">
        <v>3.8</v>
      </c>
      <c r="G52" s="5">
        <v>26399</v>
      </c>
      <c r="H52" s="5">
        <v>6.46</v>
      </c>
      <c r="I52" s="5">
        <v>3</v>
      </c>
      <c r="J52" s="5">
        <v>207.6</v>
      </c>
      <c r="K52" s="5" t="s">
        <v>93</v>
      </c>
      <c r="L52" s="5" t="s">
        <v>88</v>
      </c>
      <c r="M52" s="5" t="s">
        <v>89</v>
      </c>
      <c r="N52" s="5" t="s">
        <v>87</v>
      </c>
      <c r="O52" s="5">
        <v>1072729</v>
      </c>
      <c r="P52" s="5" t="s">
        <v>29</v>
      </c>
      <c r="Q52" s="5" t="s">
        <v>48</v>
      </c>
      <c r="R52" s="5" t="s">
        <v>31</v>
      </c>
      <c r="S52" s="5" t="s">
        <v>32</v>
      </c>
      <c r="T52" s="5" t="s">
        <v>16</v>
      </c>
    </row>
    <row r="53" spans="1:20" ht="15.75" customHeight="1" x14ac:dyDescent="0.2">
      <c r="A53" s="5" t="s">
        <v>34</v>
      </c>
      <c r="B53" s="5">
        <v>1287098</v>
      </c>
      <c r="C53" s="5">
        <v>187058</v>
      </c>
      <c r="D53" s="5">
        <v>2352</v>
      </c>
      <c r="E53" s="5">
        <v>0.18</v>
      </c>
      <c r="F53" s="5">
        <v>6.9</v>
      </c>
      <c r="G53" s="5">
        <v>8571</v>
      </c>
      <c r="H53" s="5">
        <v>6.66</v>
      </c>
      <c r="I53" s="5">
        <v>1</v>
      </c>
      <c r="J53" s="5">
        <v>56.1</v>
      </c>
      <c r="K53" s="5" t="s">
        <v>93</v>
      </c>
      <c r="L53" s="5" t="s">
        <v>88</v>
      </c>
      <c r="M53" s="5" t="s">
        <v>90</v>
      </c>
      <c r="N53" s="5" t="s">
        <v>34</v>
      </c>
      <c r="O53" s="5">
        <v>187058</v>
      </c>
      <c r="P53" s="5" t="s">
        <v>29</v>
      </c>
      <c r="Q53" s="5" t="s">
        <v>48</v>
      </c>
      <c r="R53" s="5" t="s">
        <v>31</v>
      </c>
      <c r="S53" s="5" t="s">
        <v>32</v>
      </c>
      <c r="T53" s="5" t="s">
        <v>16</v>
      </c>
    </row>
    <row r="54" spans="1:20" ht="15.75" customHeight="1" x14ac:dyDescent="0.2">
      <c r="A54" s="5" t="s">
        <v>35</v>
      </c>
      <c r="B54" s="5">
        <v>1287098</v>
      </c>
      <c r="C54" s="5">
        <v>187058</v>
      </c>
      <c r="D54" s="5">
        <v>2352</v>
      </c>
      <c r="E54" s="5">
        <v>0.18</v>
      </c>
      <c r="F54" s="5">
        <v>6.9</v>
      </c>
      <c r="G54" s="5">
        <v>8571</v>
      </c>
      <c r="H54" s="5">
        <v>6.66</v>
      </c>
      <c r="I54" s="5">
        <v>1</v>
      </c>
      <c r="J54" s="5">
        <v>56.1</v>
      </c>
      <c r="K54" s="5" t="s">
        <v>93</v>
      </c>
      <c r="L54" s="5" t="s">
        <v>88</v>
      </c>
      <c r="M54" s="5" t="s">
        <v>91</v>
      </c>
      <c r="N54" s="5" t="s">
        <v>34</v>
      </c>
      <c r="O54" s="5">
        <v>187058</v>
      </c>
      <c r="P54" s="5" t="s">
        <v>29</v>
      </c>
      <c r="Q54" s="5" t="s">
        <v>48</v>
      </c>
      <c r="R54" s="5" t="s">
        <v>31</v>
      </c>
      <c r="S54" s="5" t="s">
        <v>32</v>
      </c>
      <c r="T54" s="5" t="s">
        <v>16</v>
      </c>
    </row>
    <row r="55" spans="1:20" ht="15.75" customHeight="1" x14ac:dyDescent="0.2">
      <c r="A55" s="5" t="s">
        <v>36</v>
      </c>
      <c r="B55" s="5">
        <v>89478</v>
      </c>
      <c r="C55" s="5">
        <v>8949</v>
      </c>
      <c r="D55" s="5">
        <v>395</v>
      </c>
      <c r="E55" s="5">
        <v>0.44</v>
      </c>
      <c r="F55" s="5">
        <v>10</v>
      </c>
      <c r="G55" s="5">
        <v>2335</v>
      </c>
      <c r="H55" s="5">
        <v>26.1</v>
      </c>
      <c r="I55" s="5">
        <v>1</v>
      </c>
      <c r="J55" s="5">
        <v>75.75</v>
      </c>
      <c r="K55" s="5" t="s">
        <v>93</v>
      </c>
      <c r="L55" s="5" t="s">
        <v>88</v>
      </c>
      <c r="M55" s="5" t="s">
        <v>90</v>
      </c>
      <c r="N55" s="5" t="s">
        <v>36</v>
      </c>
      <c r="O55" s="5">
        <v>8949</v>
      </c>
      <c r="P55" s="5" t="s">
        <v>29</v>
      </c>
      <c r="Q55" s="5" t="s">
        <v>48</v>
      </c>
      <c r="R55" s="5" t="s">
        <v>31</v>
      </c>
      <c r="S55" s="5" t="s">
        <v>32</v>
      </c>
      <c r="T55" s="5" t="s">
        <v>16</v>
      </c>
    </row>
    <row r="56" spans="1:20" ht="15.75" customHeight="1" x14ac:dyDescent="0.2">
      <c r="A56" s="5" t="s">
        <v>35</v>
      </c>
      <c r="B56" s="5">
        <v>89478</v>
      </c>
      <c r="C56" s="5">
        <v>8949</v>
      </c>
      <c r="D56" s="5">
        <v>395</v>
      </c>
      <c r="E56" s="5">
        <v>0.44</v>
      </c>
      <c r="F56" s="5">
        <v>10</v>
      </c>
      <c r="G56" s="5">
        <v>2335</v>
      </c>
      <c r="H56" s="5">
        <v>26.1</v>
      </c>
      <c r="I56" s="5">
        <v>1</v>
      </c>
      <c r="J56" s="5">
        <v>75.75</v>
      </c>
      <c r="K56" s="5" t="s">
        <v>93</v>
      </c>
      <c r="L56" s="5" t="s">
        <v>88</v>
      </c>
      <c r="M56" s="5" t="s">
        <v>91</v>
      </c>
      <c r="N56" s="5" t="s">
        <v>36</v>
      </c>
      <c r="O56" s="5">
        <v>8949</v>
      </c>
      <c r="P56" s="5" t="s">
        <v>29</v>
      </c>
      <c r="Q56" s="5" t="s">
        <v>48</v>
      </c>
      <c r="R56" s="5" t="s">
        <v>31</v>
      </c>
      <c r="S56" s="5" t="s">
        <v>32</v>
      </c>
      <c r="T56" s="5" t="s">
        <v>16</v>
      </c>
    </row>
    <row r="57" spans="1:20" ht="15.75" customHeight="1" x14ac:dyDescent="0.2">
      <c r="A57" s="5" t="s">
        <v>37</v>
      </c>
      <c r="B57" s="5">
        <v>847180</v>
      </c>
      <c r="C57" s="5">
        <v>122039</v>
      </c>
      <c r="D57" s="5">
        <v>1516</v>
      </c>
      <c r="E57" s="5">
        <v>0.18</v>
      </c>
      <c r="F57" s="5">
        <v>6.9</v>
      </c>
      <c r="G57" s="5">
        <v>5714</v>
      </c>
      <c r="H57" s="5">
        <v>6.74</v>
      </c>
      <c r="I57" s="5">
        <v>1</v>
      </c>
      <c r="J57" s="5">
        <v>75.75</v>
      </c>
      <c r="K57" s="5" t="s">
        <v>93</v>
      </c>
      <c r="L57" s="5" t="s">
        <v>88</v>
      </c>
      <c r="M57" s="5" t="s">
        <v>90</v>
      </c>
      <c r="N57" s="5" t="s">
        <v>37</v>
      </c>
      <c r="O57" s="5">
        <v>122039</v>
      </c>
      <c r="P57" s="5" t="s">
        <v>29</v>
      </c>
      <c r="Q57" s="5" t="s">
        <v>48</v>
      </c>
      <c r="R57" s="5" t="s">
        <v>31</v>
      </c>
      <c r="S57" s="5" t="s">
        <v>32</v>
      </c>
      <c r="T57" s="5" t="s">
        <v>16</v>
      </c>
    </row>
    <row r="58" spans="1:20" ht="15.75" customHeight="1" x14ac:dyDescent="0.2">
      <c r="A58" s="5" t="s">
        <v>35</v>
      </c>
      <c r="B58" s="5">
        <v>847180</v>
      </c>
      <c r="C58" s="5">
        <v>122039</v>
      </c>
      <c r="D58" s="5">
        <v>1516</v>
      </c>
      <c r="E58" s="5">
        <v>0.18</v>
      </c>
      <c r="F58" s="5">
        <v>6.9</v>
      </c>
      <c r="G58" s="5">
        <v>5714</v>
      </c>
      <c r="H58" s="5">
        <v>6.74</v>
      </c>
      <c r="I58" s="5">
        <v>1</v>
      </c>
      <c r="J58" s="5">
        <v>75.75</v>
      </c>
      <c r="K58" s="5" t="s">
        <v>93</v>
      </c>
      <c r="L58" s="5" t="s">
        <v>88</v>
      </c>
      <c r="M58" s="5" t="s">
        <v>91</v>
      </c>
      <c r="N58" s="5" t="s">
        <v>37</v>
      </c>
      <c r="O58" s="5">
        <v>122039</v>
      </c>
      <c r="P58" s="5" t="s">
        <v>29</v>
      </c>
      <c r="Q58" s="5" t="s">
        <v>48</v>
      </c>
      <c r="R58" s="5" t="s">
        <v>31</v>
      </c>
      <c r="S58" s="5" t="s">
        <v>32</v>
      </c>
      <c r="T58" s="5" t="s">
        <v>16</v>
      </c>
    </row>
    <row r="59" spans="1:20" ht="15.75" customHeight="1" x14ac:dyDescent="0.2">
      <c r="A59" s="5" t="s">
        <v>38</v>
      </c>
      <c r="B59" s="5">
        <v>1104848</v>
      </c>
      <c r="C59" s="5">
        <v>719047</v>
      </c>
      <c r="D59" s="5">
        <v>1063</v>
      </c>
      <c r="E59" s="5">
        <v>0.1</v>
      </c>
      <c r="F59" s="5">
        <v>1.5</v>
      </c>
      <c r="G59" s="5">
        <v>2830</v>
      </c>
      <c r="H59" s="5">
        <v>2.56</v>
      </c>
      <c r="I59" s="5">
        <v>0</v>
      </c>
      <c r="J59" s="5">
        <v>0</v>
      </c>
      <c r="K59" s="5" t="s">
        <v>93</v>
      </c>
      <c r="L59" s="5" t="s">
        <v>88</v>
      </c>
      <c r="M59" s="5" t="s">
        <v>90</v>
      </c>
      <c r="N59" s="5" t="s">
        <v>38</v>
      </c>
      <c r="O59" s="5">
        <v>719047</v>
      </c>
      <c r="P59" s="5" t="s">
        <v>29</v>
      </c>
      <c r="Q59" s="5" t="s">
        <v>48</v>
      </c>
      <c r="R59" s="5" t="s">
        <v>31</v>
      </c>
      <c r="S59" s="5" t="s">
        <v>32</v>
      </c>
      <c r="T59" s="5" t="s">
        <v>16</v>
      </c>
    </row>
    <row r="60" spans="1:20" ht="15.75" customHeight="1" x14ac:dyDescent="0.2">
      <c r="A60" s="5" t="s">
        <v>35</v>
      </c>
      <c r="B60" s="5">
        <v>1104848</v>
      </c>
      <c r="C60" s="5">
        <v>719047</v>
      </c>
      <c r="D60" s="5">
        <v>1063</v>
      </c>
      <c r="E60" s="5">
        <v>0.1</v>
      </c>
      <c r="F60" s="5">
        <v>1.5</v>
      </c>
      <c r="G60" s="5">
        <v>2830</v>
      </c>
      <c r="H60" s="5">
        <v>2.56</v>
      </c>
      <c r="I60" s="5">
        <v>0</v>
      </c>
      <c r="J60" s="5">
        <v>0</v>
      </c>
      <c r="K60" s="5" t="s">
        <v>93</v>
      </c>
      <c r="L60" s="5" t="s">
        <v>88</v>
      </c>
      <c r="M60" s="5" t="s">
        <v>91</v>
      </c>
      <c r="N60" s="5" t="s">
        <v>38</v>
      </c>
      <c r="O60" s="5">
        <v>719047</v>
      </c>
      <c r="P60" s="5" t="s">
        <v>29</v>
      </c>
      <c r="Q60" s="5" t="s">
        <v>48</v>
      </c>
      <c r="R60" s="5" t="s">
        <v>31</v>
      </c>
      <c r="S60" s="5" t="s">
        <v>32</v>
      </c>
      <c r="T60" s="5" t="s">
        <v>16</v>
      </c>
    </row>
    <row r="61" spans="1:20" ht="15.75" customHeight="1" x14ac:dyDescent="0.2">
      <c r="A61" s="5" t="s">
        <v>39</v>
      </c>
      <c r="B61" s="5">
        <v>154138</v>
      </c>
      <c r="C61" s="5">
        <v>63187</v>
      </c>
      <c r="D61" s="5">
        <v>288</v>
      </c>
      <c r="E61" s="5">
        <v>0.19</v>
      </c>
      <c r="F61" s="5">
        <v>2.4</v>
      </c>
      <c r="G61" s="5">
        <v>1106</v>
      </c>
      <c r="H61" s="5">
        <v>7.18</v>
      </c>
      <c r="I61" s="5">
        <v>0</v>
      </c>
      <c r="J61" s="5">
        <v>0</v>
      </c>
      <c r="K61" s="5" t="s">
        <v>93</v>
      </c>
      <c r="L61" s="5" t="s">
        <v>88</v>
      </c>
      <c r="M61" s="5" t="s">
        <v>90</v>
      </c>
      <c r="N61" s="5" t="s">
        <v>39</v>
      </c>
      <c r="O61" s="5">
        <v>63187</v>
      </c>
      <c r="P61" s="5" t="s">
        <v>29</v>
      </c>
      <c r="Q61" s="5" t="s">
        <v>48</v>
      </c>
      <c r="R61" s="5" t="s">
        <v>31</v>
      </c>
      <c r="S61" s="5" t="s">
        <v>32</v>
      </c>
      <c r="T61" s="5" t="s">
        <v>16</v>
      </c>
    </row>
    <row r="62" spans="1:20" ht="15.75" customHeight="1" x14ac:dyDescent="0.2">
      <c r="A62" s="5" t="s">
        <v>35</v>
      </c>
      <c r="B62" s="5">
        <v>154138</v>
      </c>
      <c r="C62" s="5">
        <v>63187</v>
      </c>
      <c r="D62" s="5">
        <v>288</v>
      </c>
      <c r="E62" s="5">
        <v>0.19</v>
      </c>
      <c r="F62" s="5">
        <v>2.4</v>
      </c>
      <c r="G62" s="5">
        <v>1106</v>
      </c>
      <c r="H62" s="5">
        <v>7.18</v>
      </c>
      <c r="I62" s="5">
        <v>0</v>
      </c>
      <c r="J62" s="5">
        <v>0</v>
      </c>
      <c r="K62" s="5" t="s">
        <v>93</v>
      </c>
      <c r="L62" s="5" t="s">
        <v>88</v>
      </c>
      <c r="M62" s="5" t="s">
        <v>91</v>
      </c>
      <c r="N62" s="5" t="s">
        <v>39</v>
      </c>
      <c r="O62" s="5">
        <v>63187</v>
      </c>
      <c r="P62" s="5" t="s">
        <v>29</v>
      </c>
      <c r="Q62" s="5" t="s">
        <v>48</v>
      </c>
      <c r="R62" s="5" t="s">
        <v>31</v>
      </c>
      <c r="S62" s="5" t="s">
        <v>32</v>
      </c>
      <c r="T62" s="5" t="s">
        <v>16</v>
      </c>
    </row>
    <row r="63" spans="1:20" ht="15.75" customHeight="1" x14ac:dyDescent="0.2">
      <c r="A63" s="5" t="s">
        <v>40</v>
      </c>
      <c r="B63" s="5">
        <v>291130</v>
      </c>
      <c r="C63" s="5">
        <v>77144</v>
      </c>
      <c r="D63" s="5">
        <v>461</v>
      </c>
      <c r="E63" s="5">
        <v>0.16</v>
      </c>
      <c r="F63" s="5">
        <v>3.8</v>
      </c>
      <c r="G63" s="5">
        <v>2093</v>
      </c>
      <c r="H63" s="5">
        <v>7.19</v>
      </c>
      <c r="I63" s="5">
        <v>0</v>
      </c>
      <c r="J63" s="5">
        <v>0</v>
      </c>
      <c r="K63" s="5" t="s">
        <v>93</v>
      </c>
      <c r="L63" s="5" t="s">
        <v>88</v>
      </c>
      <c r="M63" s="5" t="s">
        <v>90</v>
      </c>
      <c r="N63" s="5" t="s">
        <v>40</v>
      </c>
      <c r="O63" s="5">
        <v>77144</v>
      </c>
      <c r="P63" s="5" t="s">
        <v>29</v>
      </c>
      <c r="Q63" s="5" t="s">
        <v>48</v>
      </c>
      <c r="R63" s="5" t="s">
        <v>31</v>
      </c>
      <c r="S63" s="5" t="s">
        <v>32</v>
      </c>
      <c r="T63" s="5" t="s">
        <v>16</v>
      </c>
    </row>
    <row r="64" spans="1:20" ht="15.75" customHeight="1" x14ac:dyDescent="0.2">
      <c r="A64" s="5" t="s">
        <v>35</v>
      </c>
      <c r="B64" s="5">
        <v>291130</v>
      </c>
      <c r="C64" s="5">
        <v>77144</v>
      </c>
      <c r="D64" s="5">
        <v>461</v>
      </c>
      <c r="E64" s="5">
        <v>0.16</v>
      </c>
      <c r="F64" s="5">
        <v>3.8</v>
      </c>
      <c r="G64" s="5">
        <v>2093</v>
      </c>
      <c r="H64" s="5">
        <v>7.19</v>
      </c>
      <c r="I64" s="5">
        <v>0</v>
      </c>
      <c r="J64" s="5">
        <v>0</v>
      </c>
      <c r="K64" s="5" t="s">
        <v>93</v>
      </c>
      <c r="L64" s="5" t="s">
        <v>88</v>
      </c>
      <c r="M64" s="5" t="s">
        <v>91</v>
      </c>
      <c r="N64" s="5" t="s">
        <v>40</v>
      </c>
      <c r="O64" s="5">
        <v>77144</v>
      </c>
      <c r="P64" s="5" t="s">
        <v>29</v>
      </c>
      <c r="Q64" s="5" t="s">
        <v>48</v>
      </c>
      <c r="R64" s="5" t="s">
        <v>31</v>
      </c>
      <c r="S64" s="5" t="s">
        <v>32</v>
      </c>
      <c r="T64" s="5" t="s">
        <v>16</v>
      </c>
    </row>
    <row r="65" spans="1:20" ht="15.75" customHeight="1" x14ac:dyDescent="0.2">
      <c r="A65" s="5" t="s">
        <v>41</v>
      </c>
      <c r="B65" s="5">
        <v>155159</v>
      </c>
      <c r="C65" s="5">
        <v>43373</v>
      </c>
      <c r="D65" s="5">
        <v>249</v>
      </c>
      <c r="E65" s="5">
        <v>0.16</v>
      </c>
      <c r="F65" s="5">
        <v>3.6</v>
      </c>
      <c r="G65" s="5">
        <v>1181</v>
      </c>
      <c r="H65" s="5">
        <v>7.61</v>
      </c>
      <c r="I65" s="5">
        <v>0</v>
      </c>
      <c r="J65" s="5">
        <v>0</v>
      </c>
      <c r="K65" s="5" t="s">
        <v>93</v>
      </c>
      <c r="L65" s="5" t="s">
        <v>88</v>
      </c>
      <c r="M65" s="5" t="s">
        <v>90</v>
      </c>
      <c r="N65" s="5" t="s">
        <v>41</v>
      </c>
      <c r="O65" s="5">
        <v>43373</v>
      </c>
      <c r="P65" s="5" t="s">
        <v>29</v>
      </c>
      <c r="Q65" s="5" t="s">
        <v>48</v>
      </c>
      <c r="R65" s="5" t="s">
        <v>31</v>
      </c>
      <c r="S65" s="5" t="s">
        <v>32</v>
      </c>
      <c r="T65" s="5" t="s">
        <v>16</v>
      </c>
    </row>
    <row r="66" spans="1:20" ht="15.75" customHeight="1" x14ac:dyDescent="0.2">
      <c r="A66" s="5" t="s">
        <v>35</v>
      </c>
      <c r="B66" s="5">
        <v>155159</v>
      </c>
      <c r="C66" s="5">
        <v>43373</v>
      </c>
      <c r="D66" s="5">
        <v>249</v>
      </c>
      <c r="E66" s="5">
        <v>0.16</v>
      </c>
      <c r="F66" s="5">
        <v>3.6</v>
      </c>
      <c r="G66" s="5">
        <v>1181</v>
      </c>
      <c r="H66" s="5">
        <v>7.61</v>
      </c>
      <c r="I66" s="5">
        <v>0</v>
      </c>
      <c r="J66" s="5">
        <v>0</v>
      </c>
      <c r="K66" s="5" t="s">
        <v>93</v>
      </c>
      <c r="L66" s="5" t="s">
        <v>88</v>
      </c>
      <c r="M66" s="5" t="s">
        <v>91</v>
      </c>
      <c r="N66" s="5" t="s">
        <v>41</v>
      </c>
      <c r="O66" s="5">
        <v>43373</v>
      </c>
      <c r="P66" s="5" t="s">
        <v>29</v>
      </c>
      <c r="Q66" s="5" t="s">
        <v>48</v>
      </c>
      <c r="R66" s="5" t="s">
        <v>31</v>
      </c>
      <c r="S66" s="5" t="s">
        <v>32</v>
      </c>
      <c r="T66" s="5" t="s">
        <v>16</v>
      </c>
    </row>
    <row r="67" spans="1:20" ht="15.75" customHeight="1" x14ac:dyDescent="0.2">
      <c r="A67" s="5" t="s">
        <v>42</v>
      </c>
      <c r="B67" s="5">
        <v>66144</v>
      </c>
      <c r="C67" s="5">
        <v>6551</v>
      </c>
      <c r="D67" s="5">
        <v>283</v>
      </c>
      <c r="E67" s="5">
        <v>0.43</v>
      </c>
      <c r="F67" s="5">
        <v>10.1</v>
      </c>
      <c r="G67" s="5">
        <v>1602</v>
      </c>
      <c r="H67" s="5">
        <v>24.22</v>
      </c>
      <c r="I67" s="5">
        <v>0</v>
      </c>
      <c r="J67" s="5">
        <v>0</v>
      </c>
      <c r="K67" s="5" t="s">
        <v>93</v>
      </c>
      <c r="L67" s="5" t="s">
        <v>88</v>
      </c>
      <c r="M67" s="5" t="s">
        <v>90</v>
      </c>
      <c r="N67" s="5" t="s">
        <v>42</v>
      </c>
      <c r="O67" s="5">
        <v>6551</v>
      </c>
      <c r="P67" s="5" t="s">
        <v>29</v>
      </c>
      <c r="Q67" s="5" t="s">
        <v>48</v>
      </c>
      <c r="R67" s="5" t="s">
        <v>31</v>
      </c>
      <c r="S67" s="5" t="s">
        <v>32</v>
      </c>
      <c r="T67" s="5" t="s">
        <v>16</v>
      </c>
    </row>
    <row r="68" spans="1:20" ht="15.75" customHeight="1" x14ac:dyDescent="0.2">
      <c r="A68" s="5" t="s">
        <v>35</v>
      </c>
      <c r="B68" s="5">
        <v>66144</v>
      </c>
      <c r="C68" s="5">
        <v>6551</v>
      </c>
      <c r="D68" s="5">
        <v>283</v>
      </c>
      <c r="E68" s="5">
        <v>0.43</v>
      </c>
      <c r="F68" s="5">
        <v>10.1</v>
      </c>
      <c r="G68" s="5">
        <v>1602</v>
      </c>
      <c r="H68" s="5">
        <v>24.22</v>
      </c>
      <c r="I68" s="5">
        <v>0</v>
      </c>
      <c r="J68" s="5">
        <v>0</v>
      </c>
      <c r="K68" s="5" t="s">
        <v>93</v>
      </c>
      <c r="L68" s="5" t="s">
        <v>88</v>
      </c>
      <c r="M68" s="5" t="s">
        <v>91</v>
      </c>
      <c r="N68" s="5" t="s">
        <v>42</v>
      </c>
      <c r="O68" s="5">
        <v>6551</v>
      </c>
      <c r="P68" s="5" t="s">
        <v>29</v>
      </c>
      <c r="Q68" s="5" t="s">
        <v>48</v>
      </c>
      <c r="R68" s="5" t="s">
        <v>31</v>
      </c>
      <c r="S68" s="5" t="s">
        <v>32</v>
      </c>
      <c r="T68" s="5" t="s">
        <v>16</v>
      </c>
    </row>
    <row r="69" spans="1:20" ht="15.75" customHeight="1" x14ac:dyDescent="0.2">
      <c r="A69" s="5" t="s">
        <v>43</v>
      </c>
      <c r="B69" s="5">
        <v>30524</v>
      </c>
      <c r="C69" s="5">
        <v>9507</v>
      </c>
      <c r="D69" s="5">
        <v>65</v>
      </c>
      <c r="E69" s="5">
        <v>0.21</v>
      </c>
      <c r="F69" s="5">
        <v>3.2</v>
      </c>
      <c r="G69" s="5">
        <v>321</v>
      </c>
      <c r="H69" s="5">
        <v>10.52</v>
      </c>
      <c r="I69" s="5">
        <v>0</v>
      </c>
      <c r="J69" s="5">
        <v>0</v>
      </c>
      <c r="K69" s="5" t="s">
        <v>93</v>
      </c>
      <c r="L69" s="5" t="s">
        <v>88</v>
      </c>
      <c r="M69" s="5" t="s">
        <v>90</v>
      </c>
      <c r="N69" s="5" t="s">
        <v>43</v>
      </c>
      <c r="O69" s="5">
        <v>9507</v>
      </c>
      <c r="P69" s="5" t="s">
        <v>29</v>
      </c>
      <c r="Q69" s="5" t="s">
        <v>48</v>
      </c>
      <c r="R69" s="5" t="s">
        <v>31</v>
      </c>
      <c r="S69" s="5" t="s">
        <v>32</v>
      </c>
      <c r="T69" s="5" t="s">
        <v>16</v>
      </c>
    </row>
    <row r="70" spans="1:20" ht="15.75" customHeight="1" x14ac:dyDescent="0.2">
      <c r="A70" s="5" t="s">
        <v>35</v>
      </c>
      <c r="B70" s="5">
        <v>30524</v>
      </c>
      <c r="C70" s="5">
        <v>9507</v>
      </c>
      <c r="D70" s="5">
        <v>65</v>
      </c>
      <c r="E70" s="5">
        <v>0.21</v>
      </c>
      <c r="F70" s="5">
        <v>3.2</v>
      </c>
      <c r="G70" s="5">
        <v>321</v>
      </c>
      <c r="H70" s="5">
        <v>10.52</v>
      </c>
      <c r="I70" s="5">
        <v>0</v>
      </c>
      <c r="J70" s="5">
        <v>0</v>
      </c>
      <c r="K70" s="5" t="s">
        <v>93</v>
      </c>
      <c r="L70" s="5" t="s">
        <v>88</v>
      </c>
      <c r="M70" s="5" t="s">
        <v>91</v>
      </c>
      <c r="N70" s="5" t="s">
        <v>43</v>
      </c>
      <c r="O70" s="5">
        <v>9507</v>
      </c>
      <c r="P70" s="5" t="s">
        <v>29</v>
      </c>
      <c r="Q70" s="5" t="s">
        <v>48</v>
      </c>
      <c r="R70" s="5" t="s">
        <v>31</v>
      </c>
      <c r="S70" s="5" t="s">
        <v>32</v>
      </c>
      <c r="T70" s="5" t="s">
        <v>16</v>
      </c>
    </row>
    <row r="71" spans="1:20" ht="15.75" customHeight="1" x14ac:dyDescent="0.2">
      <c r="A71" s="5" t="s">
        <v>44</v>
      </c>
      <c r="B71" s="5">
        <v>11273</v>
      </c>
      <c r="C71" s="5">
        <v>3014</v>
      </c>
      <c r="D71" s="5">
        <v>35</v>
      </c>
      <c r="E71" s="5">
        <v>0.31</v>
      </c>
      <c r="F71" s="5">
        <v>3.7</v>
      </c>
      <c r="G71" s="5">
        <v>114</v>
      </c>
      <c r="H71" s="5">
        <v>10.11</v>
      </c>
      <c r="I71" s="5">
        <v>0</v>
      </c>
      <c r="J71" s="5">
        <v>0</v>
      </c>
      <c r="K71" s="5" t="s">
        <v>93</v>
      </c>
      <c r="L71" s="5" t="s">
        <v>88</v>
      </c>
      <c r="M71" s="5" t="s">
        <v>90</v>
      </c>
      <c r="N71" s="5" t="s">
        <v>44</v>
      </c>
      <c r="O71" s="5">
        <v>3014</v>
      </c>
      <c r="P71" s="5" t="s">
        <v>29</v>
      </c>
      <c r="Q71" s="5" t="s">
        <v>48</v>
      </c>
      <c r="R71" s="5" t="s">
        <v>31</v>
      </c>
      <c r="S71" s="5" t="s">
        <v>32</v>
      </c>
      <c r="T71" s="5" t="s">
        <v>16</v>
      </c>
    </row>
    <row r="72" spans="1:20" ht="15.75" customHeight="1" x14ac:dyDescent="0.2">
      <c r="A72" s="5" t="s">
        <v>35</v>
      </c>
      <c r="B72" s="5">
        <v>11273</v>
      </c>
      <c r="C72" s="5">
        <v>3014</v>
      </c>
      <c r="D72" s="5">
        <v>35</v>
      </c>
      <c r="E72" s="5">
        <v>0.31</v>
      </c>
      <c r="F72" s="5">
        <v>3.7</v>
      </c>
      <c r="G72" s="5">
        <v>114</v>
      </c>
      <c r="H72" s="5">
        <v>10.11</v>
      </c>
      <c r="I72" s="5">
        <v>0</v>
      </c>
      <c r="J72" s="5">
        <v>0</v>
      </c>
      <c r="K72" s="5" t="s">
        <v>93</v>
      </c>
      <c r="L72" s="5" t="s">
        <v>88</v>
      </c>
      <c r="M72" s="5" t="s">
        <v>91</v>
      </c>
      <c r="N72" s="5" t="s">
        <v>44</v>
      </c>
      <c r="O72" s="5">
        <v>3014</v>
      </c>
      <c r="P72" s="5" t="s">
        <v>29</v>
      </c>
      <c r="Q72" s="5" t="s">
        <v>48</v>
      </c>
      <c r="R72" s="5" t="s">
        <v>31</v>
      </c>
      <c r="S72" s="5" t="s">
        <v>32</v>
      </c>
      <c r="T72" s="5" t="s">
        <v>16</v>
      </c>
    </row>
    <row r="73" spans="1:20" ht="15.75" customHeight="1" x14ac:dyDescent="0.2">
      <c r="A73" s="5" t="s">
        <v>45</v>
      </c>
      <c r="B73" s="5">
        <v>39120</v>
      </c>
      <c r="C73" s="5">
        <v>10508</v>
      </c>
      <c r="D73" s="5">
        <v>86</v>
      </c>
      <c r="E73" s="5">
        <v>0.22</v>
      </c>
      <c r="F73" s="5">
        <v>3.7</v>
      </c>
      <c r="G73" s="5">
        <v>393</v>
      </c>
      <c r="H73" s="5">
        <v>10.050000000000001</v>
      </c>
      <c r="I73" s="5">
        <v>0</v>
      </c>
      <c r="J73" s="5">
        <v>0</v>
      </c>
      <c r="K73" s="5" t="s">
        <v>93</v>
      </c>
      <c r="L73" s="5" t="s">
        <v>88</v>
      </c>
      <c r="M73" s="5" t="s">
        <v>90</v>
      </c>
      <c r="N73" s="5" t="s">
        <v>45</v>
      </c>
      <c r="O73" s="5">
        <v>10508</v>
      </c>
      <c r="P73" s="5" t="s">
        <v>29</v>
      </c>
      <c r="Q73" s="5" t="s">
        <v>48</v>
      </c>
      <c r="R73" s="5" t="s">
        <v>31</v>
      </c>
      <c r="S73" s="5" t="s">
        <v>32</v>
      </c>
      <c r="T73" s="5" t="s">
        <v>16</v>
      </c>
    </row>
    <row r="74" spans="1:20" ht="15.75" customHeight="1" x14ac:dyDescent="0.2">
      <c r="A74" s="5" t="s">
        <v>35</v>
      </c>
      <c r="B74" s="5">
        <v>39120</v>
      </c>
      <c r="C74" s="5">
        <v>10508</v>
      </c>
      <c r="D74" s="5">
        <v>86</v>
      </c>
      <c r="E74" s="5">
        <v>0.22</v>
      </c>
      <c r="F74" s="5">
        <v>3.7</v>
      </c>
      <c r="G74" s="5">
        <v>393</v>
      </c>
      <c r="H74" s="5">
        <v>10.050000000000001</v>
      </c>
      <c r="I74" s="5">
        <v>0</v>
      </c>
      <c r="J74" s="5">
        <v>0</v>
      </c>
      <c r="K74" s="5" t="s">
        <v>93</v>
      </c>
      <c r="L74" s="5" t="s">
        <v>88</v>
      </c>
      <c r="M74" s="5" t="s">
        <v>91</v>
      </c>
      <c r="N74" s="5" t="s">
        <v>45</v>
      </c>
      <c r="O74" s="5">
        <v>10508</v>
      </c>
      <c r="P74" s="5" t="s">
        <v>29</v>
      </c>
      <c r="Q74" s="5" t="s">
        <v>48</v>
      </c>
      <c r="R74" s="5" t="s">
        <v>31</v>
      </c>
      <c r="S74" s="5" t="s">
        <v>32</v>
      </c>
      <c r="T74" s="5" t="s">
        <v>16</v>
      </c>
    </row>
    <row r="75" spans="1:20" ht="15.75" customHeight="1" x14ac:dyDescent="0.2">
      <c r="A75" s="5" t="s">
        <v>46</v>
      </c>
      <c r="B75" s="5">
        <v>12838</v>
      </c>
      <c r="C75" s="5">
        <v>3775</v>
      </c>
      <c r="D75" s="5">
        <v>30</v>
      </c>
      <c r="E75" s="5">
        <v>0.23</v>
      </c>
      <c r="F75" s="5">
        <v>3.4</v>
      </c>
      <c r="G75" s="5">
        <v>138</v>
      </c>
      <c r="H75" s="5">
        <v>10.75</v>
      </c>
      <c r="I75" s="5">
        <v>0</v>
      </c>
      <c r="J75" s="5">
        <v>0</v>
      </c>
      <c r="K75" s="5" t="s">
        <v>93</v>
      </c>
      <c r="L75" s="5" t="s">
        <v>88</v>
      </c>
      <c r="M75" s="5" t="s">
        <v>90</v>
      </c>
      <c r="N75" s="5" t="s">
        <v>46</v>
      </c>
      <c r="O75" s="5">
        <v>3775</v>
      </c>
      <c r="P75" s="5" t="s">
        <v>29</v>
      </c>
      <c r="Q75" s="5" t="s">
        <v>48</v>
      </c>
      <c r="R75" s="5" t="s">
        <v>31</v>
      </c>
      <c r="S75" s="5" t="s">
        <v>32</v>
      </c>
      <c r="T75" s="5" t="s">
        <v>16</v>
      </c>
    </row>
    <row r="76" spans="1:20" ht="15.75" customHeight="1" x14ac:dyDescent="0.2">
      <c r="A76" s="5" t="s">
        <v>35</v>
      </c>
      <c r="B76" s="5">
        <v>12838</v>
      </c>
      <c r="C76" s="5">
        <v>3775</v>
      </c>
      <c r="D76" s="5">
        <v>30</v>
      </c>
      <c r="E76" s="5">
        <v>0.23</v>
      </c>
      <c r="F76" s="5">
        <v>3.4</v>
      </c>
      <c r="G76" s="5">
        <v>138</v>
      </c>
      <c r="H76" s="5">
        <v>10.75</v>
      </c>
      <c r="I76" s="5">
        <v>0</v>
      </c>
      <c r="J76" s="5">
        <v>0</v>
      </c>
      <c r="K76" s="5" t="s">
        <v>93</v>
      </c>
      <c r="L76" s="5" t="s">
        <v>88</v>
      </c>
      <c r="M76" s="5" t="s">
        <v>91</v>
      </c>
      <c r="N76" s="5" t="s">
        <v>46</v>
      </c>
      <c r="O76" s="5">
        <v>3775</v>
      </c>
      <c r="P76" s="5" t="s">
        <v>29</v>
      </c>
      <c r="Q76" s="5" t="s">
        <v>48</v>
      </c>
      <c r="R76" s="5" t="s">
        <v>31</v>
      </c>
      <c r="S76" s="5" t="s">
        <v>32</v>
      </c>
      <c r="T76" s="5" t="s">
        <v>16</v>
      </c>
    </row>
    <row r="77" spans="1:20" ht="15.75" customHeight="1" x14ac:dyDescent="0.2">
      <c r="A77" s="5" t="s">
        <v>87</v>
      </c>
      <c r="B77" s="5">
        <v>4088930</v>
      </c>
      <c r="C77" s="5">
        <v>1072729</v>
      </c>
      <c r="D77" s="5">
        <v>6823</v>
      </c>
      <c r="E77" s="5">
        <v>0.17</v>
      </c>
      <c r="F77" s="5">
        <v>3.8</v>
      </c>
      <c r="G77" s="5">
        <v>26399</v>
      </c>
      <c r="H77" s="5">
        <v>6.46</v>
      </c>
      <c r="I77" s="5">
        <v>3</v>
      </c>
      <c r="J77" s="5">
        <v>152</v>
      </c>
      <c r="K77" s="5" t="s">
        <v>93</v>
      </c>
      <c r="L77" s="5" t="s">
        <v>92</v>
      </c>
      <c r="M77" s="5" t="s">
        <v>89</v>
      </c>
      <c r="N77" s="5" t="s">
        <v>87</v>
      </c>
      <c r="O77" s="5">
        <v>1072729</v>
      </c>
      <c r="P77" s="5" t="s">
        <v>29</v>
      </c>
      <c r="Q77" s="5" t="s">
        <v>48</v>
      </c>
      <c r="R77" s="5" t="s">
        <v>31</v>
      </c>
      <c r="S77" s="5" t="s">
        <v>32</v>
      </c>
      <c r="T77" s="5" t="s">
        <v>16</v>
      </c>
    </row>
    <row r="78" spans="1:20" ht="15.75" customHeight="1" x14ac:dyDescent="0.2">
      <c r="A78" s="5" t="s">
        <v>34</v>
      </c>
      <c r="B78" s="5">
        <v>1287098</v>
      </c>
      <c r="C78" s="5">
        <v>187058</v>
      </c>
      <c r="D78" s="5">
        <v>2352</v>
      </c>
      <c r="E78" s="5">
        <v>0.18</v>
      </c>
      <c r="F78" s="5">
        <v>6.9</v>
      </c>
      <c r="G78" s="5">
        <v>8571</v>
      </c>
      <c r="H78" s="5">
        <v>6.66</v>
      </c>
      <c r="I78" s="5">
        <v>0</v>
      </c>
      <c r="J78" s="5">
        <v>0</v>
      </c>
      <c r="K78" s="5" t="s">
        <v>93</v>
      </c>
      <c r="L78" s="5" t="s">
        <v>92</v>
      </c>
      <c r="M78" s="5" t="s">
        <v>90</v>
      </c>
      <c r="N78" s="5" t="s">
        <v>34</v>
      </c>
      <c r="O78" s="5">
        <v>187058</v>
      </c>
      <c r="P78" s="5" t="s">
        <v>29</v>
      </c>
      <c r="Q78" s="5" t="s">
        <v>48</v>
      </c>
      <c r="R78" s="5" t="s">
        <v>31</v>
      </c>
      <c r="S78" s="5" t="s">
        <v>32</v>
      </c>
      <c r="T78" s="5" t="s">
        <v>16</v>
      </c>
    </row>
    <row r="79" spans="1:20" ht="15.75" customHeight="1" x14ac:dyDescent="0.2">
      <c r="A79" s="5" t="s">
        <v>35</v>
      </c>
      <c r="B79" s="5">
        <v>1287098</v>
      </c>
      <c r="C79" s="5">
        <v>187058</v>
      </c>
      <c r="D79" s="5">
        <v>2352</v>
      </c>
      <c r="E79" s="5">
        <v>0.18</v>
      </c>
      <c r="F79" s="5">
        <v>6.9</v>
      </c>
      <c r="G79" s="5">
        <v>8571</v>
      </c>
      <c r="H79" s="5">
        <v>6.66</v>
      </c>
      <c r="I79" s="5">
        <v>0</v>
      </c>
      <c r="J79" s="5">
        <v>0</v>
      </c>
      <c r="K79" s="5" t="s">
        <v>93</v>
      </c>
      <c r="L79" s="5" t="s">
        <v>92</v>
      </c>
      <c r="M79" s="5" t="s">
        <v>91</v>
      </c>
      <c r="N79" s="5" t="s">
        <v>34</v>
      </c>
      <c r="O79" s="5">
        <v>187058</v>
      </c>
      <c r="P79" s="5" t="s">
        <v>29</v>
      </c>
      <c r="Q79" s="5" t="s">
        <v>48</v>
      </c>
      <c r="R79" s="5" t="s">
        <v>31</v>
      </c>
      <c r="S79" s="5" t="s">
        <v>32</v>
      </c>
      <c r="T79" s="5" t="s">
        <v>16</v>
      </c>
    </row>
    <row r="80" spans="1:20" ht="15.75" customHeight="1" x14ac:dyDescent="0.2">
      <c r="A80" s="5" t="s">
        <v>36</v>
      </c>
      <c r="B80" s="5">
        <v>89478</v>
      </c>
      <c r="C80" s="5">
        <v>8949</v>
      </c>
      <c r="D80" s="5">
        <v>395</v>
      </c>
      <c r="E80" s="5">
        <v>0.44</v>
      </c>
      <c r="F80" s="5">
        <v>10</v>
      </c>
      <c r="G80" s="5">
        <v>2335</v>
      </c>
      <c r="H80" s="5">
        <v>26.1</v>
      </c>
      <c r="I80" s="5">
        <v>1</v>
      </c>
      <c r="J80" s="5">
        <v>54</v>
      </c>
      <c r="K80" s="5" t="s">
        <v>93</v>
      </c>
      <c r="L80" s="5" t="s">
        <v>92</v>
      </c>
      <c r="M80" s="5" t="s">
        <v>90</v>
      </c>
      <c r="N80" s="5" t="s">
        <v>36</v>
      </c>
      <c r="O80" s="5">
        <v>8949</v>
      </c>
      <c r="P80" s="5" t="s">
        <v>29</v>
      </c>
      <c r="Q80" s="5" t="s">
        <v>48</v>
      </c>
      <c r="R80" s="5" t="s">
        <v>31</v>
      </c>
      <c r="S80" s="5" t="s">
        <v>32</v>
      </c>
      <c r="T80" s="5" t="s">
        <v>16</v>
      </c>
    </row>
    <row r="81" spans="1:20" ht="15.75" customHeight="1" x14ac:dyDescent="0.2">
      <c r="A81" s="5" t="s">
        <v>35</v>
      </c>
      <c r="B81" s="5">
        <v>89478</v>
      </c>
      <c r="C81" s="5">
        <v>8949</v>
      </c>
      <c r="D81" s="5">
        <v>395</v>
      </c>
      <c r="E81" s="5">
        <v>0.44</v>
      </c>
      <c r="F81" s="5">
        <v>10</v>
      </c>
      <c r="G81" s="5">
        <v>2335</v>
      </c>
      <c r="H81" s="5">
        <v>26.1</v>
      </c>
      <c r="I81" s="5">
        <v>1</v>
      </c>
      <c r="J81" s="5">
        <v>54</v>
      </c>
      <c r="K81" s="5" t="s">
        <v>93</v>
      </c>
      <c r="L81" s="5" t="s">
        <v>92</v>
      </c>
      <c r="M81" s="5" t="s">
        <v>91</v>
      </c>
      <c r="N81" s="5" t="s">
        <v>36</v>
      </c>
      <c r="O81" s="5">
        <v>8949</v>
      </c>
      <c r="P81" s="5" t="s">
        <v>29</v>
      </c>
      <c r="Q81" s="5" t="s">
        <v>48</v>
      </c>
      <c r="R81" s="5" t="s">
        <v>31</v>
      </c>
      <c r="S81" s="5" t="s">
        <v>32</v>
      </c>
      <c r="T81" s="5" t="s">
        <v>16</v>
      </c>
    </row>
    <row r="82" spans="1:20" ht="15.75" customHeight="1" x14ac:dyDescent="0.2">
      <c r="A82" s="5" t="s">
        <v>37</v>
      </c>
      <c r="B82" s="5">
        <v>847180</v>
      </c>
      <c r="C82" s="5">
        <v>122039</v>
      </c>
      <c r="D82" s="5">
        <v>1516</v>
      </c>
      <c r="E82" s="5">
        <v>0.18</v>
      </c>
      <c r="F82" s="5">
        <v>6.9</v>
      </c>
      <c r="G82" s="5">
        <v>5714</v>
      </c>
      <c r="H82" s="5">
        <v>6.74</v>
      </c>
      <c r="I82" s="5">
        <v>0</v>
      </c>
      <c r="J82" s="5">
        <v>0</v>
      </c>
      <c r="K82" s="5" t="s">
        <v>93</v>
      </c>
      <c r="L82" s="5" t="s">
        <v>92</v>
      </c>
      <c r="M82" s="5" t="s">
        <v>90</v>
      </c>
      <c r="N82" s="5" t="s">
        <v>37</v>
      </c>
      <c r="O82" s="5">
        <v>122039</v>
      </c>
      <c r="P82" s="5" t="s">
        <v>29</v>
      </c>
      <c r="Q82" s="5" t="s">
        <v>48</v>
      </c>
      <c r="R82" s="5" t="s">
        <v>31</v>
      </c>
      <c r="S82" s="5" t="s">
        <v>32</v>
      </c>
      <c r="T82" s="5" t="s">
        <v>16</v>
      </c>
    </row>
    <row r="83" spans="1:20" ht="15.75" customHeight="1" x14ac:dyDescent="0.2">
      <c r="A83" s="5" t="s">
        <v>35</v>
      </c>
      <c r="B83" s="5">
        <v>847180</v>
      </c>
      <c r="C83" s="5">
        <v>122039</v>
      </c>
      <c r="D83" s="5">
        <v>1516</v>
      </c>
      <c r="E83" s="5">
        <v>0.18</v>
      </c>
      <c r="F83" s="5">
        <v>6.9</v>
      </c>
      <c r="G83" s="5">
        <v>5714</v>
      </c>
      <c r="H83" s="5">
        <v>6.74</v>
      </c>
      <c r="I83" s="5">
        <v>0</v>
      </c>
      <c r="J83" s="5">
        <v>0</v>
      </c>
      <c r="K83" s="5" t="s">
        <v>93</v>
      </c>
      <c r="L83" s="5" t="s">
        <v>92</v>
      </c>
      <c r="M83" s="5" t="s">
        <v>91</v>
      </c>
      <c r="N83" s="5" t="s">
        <v>37</v>
      </c>
      <c r="O83" s="5">
        <v>122039</v>
      </c>
      <c r="P83" s="5" t="s">
        <v>29</v>
      </c>
      <c r="Q83" s="5" t="s">
        <v>48</v>
      </c>
      <c r="R83" s="5" t="s">
        <v>31</v>
      </c>
      <c r="S83" s="5" t="s">
        <v>32</v>
      </c>
      <c r="T83" s="5" t="s">
        <v>16</v>
      </c>
    </row>
    <row r="84" spans="1:20" ht="15.75" customHeight="1" x14ac:dyDescent="0.2">
      <c r="A84" s="5" t="s">
        <v>38</v>
      </c>
      <c r="B84" s="5">
        <v>1104848</v>
      </c>
      <c r="C84" s="5">
        <v>719047</v>
      </c>
      <c r="D84" s="5">
        <v>1063</v>
      </c>
      <c r="E84" s="5">
        <v>0.1</v>
      </c>
      <c r="F84" s="5">
        <v>1.5</v>
      </c>
      <c r="G84" s="5">
        <v>2830</v>
      </c>
      <c r="H84" s="5">
        <v>2.56</v>
      </c>
      <c r="I84" s="5">
        <v>1</v>
      </c>
      <c r="J84" s="5">
        <v>44</v>
      </c>
      <c r="K84" s="5" t="s">
        <v>93</v>
      </c>
      <c r="L84" s="5" t="s">
        <v>92</v>
      </c>
      <c r="M84" s="5" t="s">
        <v>90</v>
      </c>
      <c r="N84" s="5" t="s">
        <v>38</v>
      </c>
      <c r="O84" s="5">
        <v>719047</v>
      </c>
      <c r="P84" s="5" t="s">
        <v>29</v>
      </c>
      <c r="Q84" s="5" t="s">
        <v>48</v>
      </c>
      <c r="R84" s="5" t="s">
        <v>31</v>
      </c>
      <c r="S84" s="5" t="s">
        <v>32</v>
      </c>
      <c r="T84" s="5" t="s">
        <v>16</v>
      </c>
    </row>
    <row r="85" spans="1:20" ht="15.75" customHeight="1" x14ac:dyDescent="0.2">
      <c r="A85" s="5" t="s">
        <v>35</v>
      </c>
      <c r="B85" s="5">
        <v>1104848</v>
      </c>
      <c r="C85" s="5">
        <v>719047</v>
      </c>
      <c r="D85" s="5">
        <v>1063</v>
      </c>
      <c r="E85" s="5">
        <v>0.1</v>
      </c>
      <c r="F85" s="5">
        <v>1.5</v>
      </c>
      <c r="G85" s="5">
        <v>2830</v>
      </c>
      <c r="H85" s="5">
        <v>2.56</v>
      </c>
      <c r="I85" s="5">
        <v>1</v>
      </c>
      <c r="J85" s="5">
        <v>44</v>
      </c>
      <c r="K85" s="5" t="s">
        <v>93</v>
      </c>
      <c r="L85" s="5" t="s">
        <v>92</v>
      </c>
      <c r="M85" s="5" t="s">
        <v>91</v>
      </c>
      <c r="N85" s="5" t="s">
        <v>38</v>
      </c>
      <c r="O85" s="5">
        <v>719047</v>
      </c>
      <c r="P85" s="5" t="s">
        <v>29</v>
      </c>
      <c r="Q85" s="5" t="s">
        <v>48</v>
      </c>
      <c r="R85" s="5" t="s">
        <v>31</v>
      </c>
      <c r="S85" s="5" t="s">
        <v>32</v>
      </c>
      <c r="T85" s="5" t="s">
        <v>16</v>
      </c>
    </row>
    <row r="86" spans="1:20" ht="15.75" customHeight="1" x14ac:dyDescent="0.2">
      <c r="A86" s="5" t="s">
        <v>39</v>
      </c>
      <c r="B86" s="5">
        <v>154138</v>
      </c>
      <c r="C86" s="5">
        <v>63187</v>
      </c>
      <c r="D86" s="5">
        <v>288</v>
      </c>
      <c r="E86" s="5">
        <v>0.19</v>
      </c>
      <c r="F86" s="5">
        <v>2.4</v>
      </c>
      <c r="G86" s="5">
        <v>1106</v>
      </c>
      <c r="H86" s="5">
        <v>7.18</v>
      </c>
      <c r="I86" s="5">
        <v>0</v>
      </c>
      <c r="J86" s="5">
        <v>0</v>
      </c>
      <c r="K86" s="5" t="s">
        <v>93</v>
      </c>
      <c r="L86" s="5" t="s">
        <v>92</v>
      </c>
      <c r="M86" s="5" t="s">
        <v>90</v>
      </c>
      <c r="N86" s="5" t="s">
        <v>39</v>
      </c>
      <c r="O86" s="5">
        <v>63187</v>
      </c>
      <c r="P86" s="5" t="s">
        <v>29</v>
      </c>
      <c r="Q86" s="5" t="s">
        <v>48</v>
      </c>
      <c r="R86" s="5" t="s">
        <v>31</v>
      </c>
      <c r="S86" s="5" t="s">
        <v>32</v>
      </c>
      <c r="T86" s="5" t="s">
        <v>16</v>
      </c>
    </row>
    <row r="87" spans="1:20" ht="15.75" customHeight="1" x14ac:dyDescent="0.2">
      <c r="A87" s="5" t="s">
        <v>35</v>
      </c>
      <c r="B87" s="5">
        <v>154138</v>
      </c>
      <c r="C87" s="5">
        <v>63187</v>
      </c>
      <c r="D87" s="5">
        <v>288</v>
      </c>
      <c r="E87" s="5">
        <v>0.19</v>
      </c>
      <c r="F87" s="5">
        <v>2.4</v>
      </c>
      <c r="G87" s="5">
        <v>1106</v>
      </c>
      <c r="H87" s="5">
        <v>7.18</v>
      </c>
      <c r="I87" s="5">
        <v>0</v>
      </c>
      <c r="J87" s="5">
        <v>0</v>
      </c>
      <c r="K87" s="5" t="s">
        <v>93</v>
      </c>
      <c r="L87" s="5" t="s">
        <v>92</v>
      </c>
      <c r="M87" s="5" t="s">
        <v>91</v>
      </c>
      <c r="N87" s="5" t="s">
        <v>39</v>
      </c>
      <c r="O87" s="5">
        <v>63187</v>
      </c>
      <c r="P87" s="5" t="s">
        <v>29</v>
      </c>
      <c r="Q87" s="5" t="s">
        <v>48</v>
      </c>
      <c r="R87" s="5" t="s">
        <v>31</v>
      </c>
      <c r="S87" s="5" t="s">
        <v>32</v>
      </c>
      <c r="T87" s="5" t="s">
        <v>16</v>
      </c>
    </row>
    <row r="88" spans="1:20" ht="15.75" customHeight="1" x14ac:dyDescent="0.2">
      <c r="A88" s="5" t="s">
        <v>40</v>
      </c>
      <c r="B88" s="5">
        <v>291130</v>
      </c>
      <c r="C88" s="5">
        <v>77144</v>
      </c>
      <c r="D88" s="5">
        <v>461</v>
      </c>
      <c r="E88" s="5">
        <v>0.16</v>
      </c>
      <c r="F88" s="5">
        <v>3.8</v>
      </c>
      <c r="G88" s="5">
        <v>2093</v>
      </c>
      <c r="H88" s="5">
        <v>7.19</v>
      </c>
      <c r="I88" s="5">
        <v>0</v>
      </c>
      <c r="J88" s="5">
        <v>0</v>
      </c>
      <c r="K88" s="5" t="s">
        <v>93</v>
      </c>
      <c r="L88" s="5" t="s">
        <v>92</v>
      </c>
      <c r="M88" s="5" t="s">
        <v>90</v>
      </c>
      <c r="N88" s="5" t="s">
        <v>40</v>
      </c>
      <c r="O88" s="5">
        <v>77144</v>
      </c>
      <c r="P88" s="5" t="s">
        <v>29</v>
      </c>
      <c r="Q88" s="5" t="s">
        <v>48</v>
      </c>
      <c r="R88" s="5" t="s">
        <v>31</v>
      </c>
      <c r="S88" s="5" t="s">
        <v>32</v>
      </c>
      <c r="T88" s="5" t="s">
        <v>16</v>
      </c>
    </row>
    <row r="89" spans="1:20" ht="15.75" customHeight="1" x14ac:dyDescent="0.2">
      <c r="A89" s="5" t="s">
        <v>35</v>
      </c>
      <c r="B89" s="5">
        <v>291130</v>
      </c>
      <c r="C89" s="5">
        <v>77144</v>
      </c>
      <c r="D89" s="5">
        <v>461</v>
      </c>
      <c r="E89" s="5">
        <v>0.16</v>
      </c>
      <c r="F89" s="5">
        <v>3.8</v>
      </c>
      <c r="G89" s="5">
        <v>2093</v>
      </c>
      <c r="H89" s="5">
        <v>7.19</v>
      </c>
      <c r="I89" s="5">
        <v>0</v>
      </c>
      <c r="J89" s="5">
        <v>0</v>
      </c>
      <c r="K89" s="5" t="s">
        <v>93</v>
      </c>
      <c r="L89" s="5" t="s">
        <v>92</v>
      </c>
      <c r="M89" s="5" t="s">
        <v>91</v>
      </c>
      <c r="N89" s="5" t="s">
        <v>40</v>
      </c>
      <c r="O89" s="5">
        <v>77144</v>
      </c>
      <c r="P89" s="5" t="s">
        <v>29</v>
      </c>
      <c r="Q89" s="5" t="s">
        <v>48</v>
      </c>
      <c r="R89" s="5" t="s">
        <v>31</v>
      </c>
      <c r="S89" s="5" t="s">
        <v>32</v>
      </c>
      <c r="T89" s="5" t="s">
        <v>16</v>
      </c>
    </row>
    <row r="90" spans="1:20" ht="15.75" customHeight="1" x14ac:dyDescent="0.2">
      <c r="A90" s="5" t="s">
        <v>41</v>
      </c>
      <c r="B90" s="5">
        <v>155159</v>
      </c>
      <c r="C90" s="5">
        <v>43373</v>
      </c>
      <c r="D90" s="5">
        <v>249</v>
      </c>
      <c r="E90" s="5">
        <v>0.16</v>
      </c>
      <c r="F90" s="5">
        <v>3.6</v>
      </c>
      <c r="G90" s="5">
        <v>1181</v>
      </c>
      <c r="H90" s="5">
        <v>7.61</v>
      </c>
      <c r="I90" s="5">
        <v>0</v>
      </c>
      <c r="J90" s="5">
        <v>0</v>
      </c>
      <c r="K90" s="5" t="s">
        <v>93</v>
      </c>
      <c r="L90" s="5" t="s">
        <v>92</v>
      </c>
      <c r="M90" s="5" t="s">
        <v>90</v>
      </c>
      <c r="N90" s="5" t="s">
        <v>41</v>
      </c>
      <c r="O90" s="5">
        <v>43373</v>
      </c>
      <c r="P90" s="5" t="s">
        <v>29</v>
      </c>
      <c r="Q90" s="5" t="s">
        <v>48</v>
      </c>
      <c r="R90" s="5" t="s">
        <v>31</v>
      </c>
      <c r="S90" s="5" t="s">
        <v>32</v>
      </c>
      <c r="T90" s="5" t="s">
        <v>16</v>
      </c>
    </row>
    <row r="91" spans="1:20" ht="15.75" customHeight="1" x14ac:dyDescent="0.2">
      <c r="A91" s="5" t="s">
        <v>35</v>
      </c>
      <c r="B91" s="5">
        <v>155159</v>
      </c>
      <c r="C91" s="5">
        <v>43373</v>
      </c>
      <c r="D91" s="5">
        <v>249</v>
      </c>
      <c r="E91" s="5">
        <v>0.16</v>
      </c>
      <c r="F91" s="5">
        <v>3.6</v>
      </c>
      <c r="G91" s="5">
        <v>1181</v>
      </c>
      <c r="H91" s="5">
        <v>7.61</v>
      </c>
      <c r="I91" s="5">
        <v>0</v>
      </c>
      <c r="J91" s="5">
        <v>0</v>
      </c>
      <c r="K91" s="5" t="s">
        <v>93</v>
      </c>
      <c r="L91" s="5" t="s">
        <v>92</v>
      </c>
      <c r="M91" s="5" t="s">
        <v>91</v>
      </c>
      <c r="N91" s="5" t="s">
        <v>41</v>
      </c>
      <c r="O91" s="5">
        <v>43373</v>
      </c>
      <c r="P91" s="5" t="s">
        <v>29</v>
      </c>
      <c r="Q91" s="5" t="s">
        <v>48</v>
      </c>
      <c r="R91" s="5" t="s">
        <v>31</v>
      </c>
      <c r="S91" s="5" t="s">
        <v>32</v>
      </c>
      <c r="T91" s="5" t="s">
        <v>16</v>
      </c>
    </row>
    <row r="92" spans="1:20" ht="15.75" customHeight="1" x14ac:dyDescent="0.2">
      <c r="A92" s="5" t="s">
        <v>42</v>
      </c>
      <c r="B92" s="5">
        <v>66144</v>
      </c>
      <c r="C92" s="5">
        <v>6551</v>
      </c>
      <c r="D92" s="5">
        <v>283</v>
      </c>
      <c r="E92" s="5">
        <v>0.43</v>
      </c>
      <c r="F92" s="5">
        <v>10.1</v>
      </c>
      <c r="G92" s="5">
        <v>1602</v>
      </c>
      <c r="H92" s="5">
        <v>24.22</v>
      </c>
      <c r="I92" s="5">
        <v>1</v>
      </c>
      <c r="J92" s="5">
        <v>54</v>
      </c>
      <c r="K92" s="5" t="s">
        <v>93</v>
      </c>
      <c r="L92" s="5" t="s">
        <v>92</v>
      </c>
      <c r="M92" s="5" t="s">
        <v>90</v>
      </c>
      <c r="N92" s="5" t="s">
        <v>42</v>
      </c>
      <c r="O92" s="5">
        <v>6551</v>
      </c>
      <c r="P92" s="5" t="s">
        <v>29</v>
      </c>
      <c r="Q92" s="5" t="s">
        <v>48</v>
      </c>
      <c r="R92" s="5" t="s">
        <v>31</v>
      </c>
      <c r="S92" s="5" t="s">
        <v>32</v>
      </c>
      <c r="T92" s="5" t="s">
        <v>16</v>
      </c>
    </row>
    <row r="93" spans="1:20" ht="15.75" customHeight="1" x14ac:dyDescent="0.2">
      <c r="A93" s="5" t="s">
        <v>35</v>
      </c>
      <c r="B93" s="5">
        <v>66144</v>
      </c>
      <c r="C93" s="5">
        <v>6551</v>
      </c>
      <c r="D93" s="5">
        <v>283</v>
      </c>
      <c r="E93" s="5">
        <v>0.43</v>
      </c>
      <c r="F93" s="5">
        <v>10.1</v>
      </c>
      <c r="G93" s="5">
        <v>1602</v>
      </c>
      <c r="H93" s="5">
        <v>24.22</v>
      </c>
      <c r="I93" s="5">
        <v>1</v>
      </c>
      <c r="J93" s="5">
        <v>54</v>
      </c>
      <c r="K93" s="5" t="s">
        <v>93</v>
      </c>
      <c r="L93" s="5" t="s">
        <v>92</v>
      </c>
      <c r="M93" s="5" t="s">
        <v>91</v>
      </c>
      <c r="N93" s="5" t="s">
        <v>42</v>
      </c>
      <c r="O93" s="5">
        <v>6551</v>
      </c>
      <c r="P93" s="5" t="s">
        <v>29</v>
      </c>
      <c r="Q93" s="5" t="s">
        <v>48</v>
      </c>
      <c r="R93" s="5" t="s">
        <v>31</v>
      </c>
      <c r="S93" s="5" t="s">
        <v>32</v>
      </c>
      <c r="T93" s="5" t="s">
        <v>16</v>
      </c>
    </row>
    <row r="94" spans="1:20" ht="15.75" customHeight="1" x14ac:dyDescent="0.2">
      <c r="A94" s="5" t="s">
        <v>43</v>
      </c>
      <c r="B94" s="5">
        <v>30524</v>
      </c>
      <c r="C94" s="5">
        <v>9507</v>
      </c>
      <c r="D94" s="5">
        <v>65</v>
      </c>
      <c r="E94" s="5">
        <v>0.21</v>
      </c>
      <c r="F94" s="5">
        <v>3.2</v>
      </c>
      <c r="G94" s="5">
        <v>321</v>
      </c>
      <c r="H94" s="5">
        <v>10.52</v>
      </c>
      <c r="I94" s="5">
        <v>0</v>
      </c>
      <c r="J94" s="5">
        <v>0</v>
      </c>
      <c r="K94" s="5" t="s">
        <v>93</v>
      </c>
      <c r="L94" s="5" t="s">
        <v>92</v>
      </c>
      <c r="M94" s="5" t="s">
        <v>90</v>
      </c>
      <c r="N94" s="5" t="s">
        <v>43</v>
      </c>
      <c r="O94" s="5">
        <v>9507</v>
      </c>
      <c r="P94" s="5" t="s">
        <v>29</v>
      </c>
      <c r="Q94" s="5" t="s">
        <v>48</v>
      </c>
      <c r="R94" s="5" t="s">
        <v>31</v>
      </c>
      <c r="S94" s="5" t="s">
        <v>32</v>
      </c>
      <c r="T94" s="5" t="s">
        <v>16</v>
      </c>
    </row>
    <row r="95" spans="1:20" ht="15.75" customHeight="1" x14ac:dyDescent="0.2">
      <c r="A95" s="5" t="s">
        <v>35</v>
      </c>
      <c r="B95" s="5">
        <v>30524</v>
      </c>
      <c r="C95" s="5">
        <v>9507</v>
      </c>
      <c r="D95" s="5">
        <v>65</v>
      </c>
      <c r="E95" s="5">
        <v>0.21</v>
      </c>
      <c r="F95" s="5">
        <v>3.2</v>
      </c>
      <c r="G95" s="5">
        <v>321</v>
      </c>
      <c r="H95" s="5">
        <v>10.52</v>
      </c>
      <c r="I95" s="5">
        <v>0</v>
      </c>
      <c r="J95" s="5">
        <v>0</v>
      </c>
      <c r="K95" s="5" t="s">
        <v>93</v>
      </c>
      <c r="L95" s="5" t="s">
        <v>92</v>
      </c>
      <c r="M95" s="5" t="s">
        <v>91</v>
      </c>
      <c r="N95" s="5" t="s">
        <v>43</v>
      </c>
      <c r="O95" s="5">
        <v>9507</v>
      </c>
      <c r="P95" s="5" t="s">
        <v>29</v>
      </c>
      <c r="Q95" s="5" t="s">
        <v>48</v>
      </c>
      <c r="R95" s="5" t="s">
        <v>31</v>
      </c>
      <c r="S95" s="5" t="s">
        <v>32</v>
      </c>
      <c r="T95" s="5" t="s">
        <v>16</v>
      </c>
    </row>
    <row r="96" spans="1:20" ht="15.75" customHeight="1" x14ac:dyDescent="0.2">
      <c r="A96" s="5" t="s">
        <v>44</v>
      </c>
      <c r="B96" s="5">
        <v>11273</v>
      </c>
      <c r="C96" s="5">
        <v>3014</v>
      </c>
      <c r="D96" s="5">
        <v>35</v>
      </c>
      <c r="E96" s="5">
        <v>0.31</v>
      </c>
      <c r="F96" s="5">
        <v>3.7</v>
      </c>
      <c r="G96" s="5">
        <v>114</v>
      </c>
      <c r="H96" s="5">
        <v>10.11</v>
      </c>
      <c r="I96" s="5">
        <v>0</v>
      </c>
      <c r="J96" s="5">
        <v>0</v>
      </c>
      <c r="K96" s="5" t="s">
        <v>93</v>
      </c>
      <c r="L96" s="5" t="s">
        <v>92</v>
      </c>
      <c r="M96" s="5" t="s">
        <v>90</v>
      </c>
      <c r="N96" s="5" t="s">
        <v>44</v>
      </c>
      <c r="O96" s="5">
        <v>3014</v>
      </c>
      <c r="P96" s="5" t="s">
        <v>29</v>
      </c>
      <c r="Q96" s="5" t="s">
        <v>48</v>
      </c>
      <c r="R96" s="5" t="s">
        <v>31</v>
      </c>
      <c r="S96" s="5" t="s">
        <v>32</v>
      </c>
      <c r="T96" s="5" t="s">
        <v>16</v>
      </c>
    </row>
    <row r="97" spans="1:20" ht="15.75" customHeight="1" x14ac:dyDescent="0.2">
      <c r="A97" s="5" t="s">
        <v>35</v>
      </c>
      <c r="B97" s="5">
        <v>11273</v>
      </c>
      <c r="C97" s="5">
        <v>3014</v>
      </c>
      <c r="D97" s="5">
        <v>35</v>
      </c>
      <c r="E97" s="5">
        <v>0.31</v>
      </c>
      <c r="F97" s="5">
        <v>3.7</v>
      </c>
      <c r="G97" s="5">
        <v>114</v>
      </c>
      <c r="H97" s="5">
        <v>10.11</v>
      </c>
      <c r="I97" s="5">
        <v>0</v>
      </c>
      <c r="J97" s="5">
        <v>0</v>
      </c>
      <c r="K97" s="5" t="s">
        <v>93</v>
      </c>
      <c r="L97" s="5" t="s">
        <v>92</v>
      </c>
      <c r="M97" s="5" t="s">
        <v>91</v>
      </c>
      <c r="N97" s="5" t="s">
        <v>44</v>
      </c>
      <c r="O97" s="5">
        <v>3014</v>
      </c>
      <c r="P97" s="5" t="s">
        <v>29</v>
      </c>
      <c r="Q97" s="5" t="s">
        <v>48</v>
      </c>
      <c r="R97" s="5" t="s">
        <v>31</v>
      </c>
      <c r="S97" s="5" t="s">
        <v>32</v>
      </c>
      <c r="T97" s="5" t="s">
        <v>16</v>
      </c>
    </row>
    <row r="98" spans="1:20" ht="15.75" customHeight="1" x14ac:dyDescent="0.2">
      <c r="A98" s="5" t="s">
        <v>45</v>
      </c>
      <c r="B98" s="5">
        <v>39120</v>
      </c>
      <c r="C98" s="5">
        <v>10508</v>
      </c>
      <c r="D98" s="5">
        <v>86</v>
      </c>
      <c r="E98" s="5">
        <v>0.22</v>
      </c>
      <c r="F98" s="5">
        <v>3.7</v>
      </c>
      <c r="G98" s="5">
        <v>393</v>
      </c>
      <c r="H98" s="5">
        <v>10.050000000000001</v>
      </c>
      <c r="I98" s="5">
        <v>0</v>
      </c>
      <c r="J98" s="5">
        <v>0</v>
      </c>
      <c r="K98" s="5" t="s">
        <v>93</v>
      </c>
      <c r="L98" s="5" t="s">
        <v>92</v>
      </c>
      <c r="M98" s="5" t="s">
        <v>90</v>
      </c>
      <c r="N98" s="5" t="s">
        <v>45</v>
      </c>
      <c r="O98" s="5">
        <v>10508</v>
      </c>
      <c r="P98" s="5" t="s">
        <v>29</v>
      </c>
      <c r="Q98" s="5" t="s">
        <v>48</v>
      </c>
      <c r="R98" s="5" t="s">
        <v>31</v>
      </c>
      <c r="S98" s="5" t="s">
        <v>32</v>
      </c>
      <c r="T98" s="5" t="s">
        <v>16</v>
      </c>
    </row>
    <row r="99" spans="1:20" ht="15.75" customHeight="1" x14ac:dyDescent="0.2">
      <c r="A99" s="5" t="s">
        <v>35</v>
      </c>
      <c r="B99" s="5">
        <v>39120</v>
      </c>
      <c r="C99" s="5">
        <v>10508</v>
      </c>
      <c r="D99" s="5">
        <v>86</v>
      </c>
      <c r="E99" s="5">
        <v>0.22</v>
      </c>
      <c r="F99" s="5">
        <v>3.7</v>
      </c>
      <c r="G99" s="5">
        <v>393</v>
      </c>
      <c r="H99" s="5">
        <v>10.050000000000001</v>
      </c>
      <c r="I99" s="5">
        <v>0</v>
      </c>
      <c r="J99" s="5">
        <v>0</v>
      </c>
      <c r="K99" s="5" t="s">
        <v>93</v>
      </c>
      <c r="L99" s="5" t="s">
        <v>92</v>
      </c>
      <c r="M99" s="5" t="s">
        <v>91</v>
      </c>
      <c r="N99" s="5" t="s">
        <v>45</v>
      </c>
      <c r="O99" s="5">
        <v>10508</v>
      </c>
      <c r="P99" s="5" t="s">
        <v>29</v>
      </c>
      <c r="Q99" s="5" t="s">
        <v>48</v>
      </c>
      <c r="R99" s="5" t="s">
        <v>31</v>
      </c>
      <c r="S99" s="5" t="s">
        <v>32</v>
      </c>
      <c r="T99" s="5" t="s">
        <v>16</v>
      </c>
    </row>
    <row r="100" spans="1:20" ht="15.75" customHeight="1" x14ac:dyDescent="0.2">
      <c r="A100" s="5" t="s">
        <v>46</v>
      </c>
      <c r="B100" s="5">
        <v>12838</v>
      </c>
      <c r="C100" s="5">
        <v>3775</v>
      </c>
      <c r="D100" s="5">
        <v>30</v>
      </c>
      <c r="E100" s="5">
        <v>0.23</v>
      </c>
      <c r="F100" s="5">
        <v>3.4</v>
      </c>
      <c r="G100" s="5">
        <v>138</v>
      </c>
      <c r="H100" s="5">
        <v>10.75</v>
      </c>
      <c r="I100" s="5">
        <v>0</v>
      </c>
      <c r="J100" s="5">
        <v>0</v>
      </c>
      <c r="K100" s="5" t="s">
        <v>93</v>
      </c>
      <c r="L100" s="5" t="s">
        <v>92</v>
      </c>
      <c r="M100" s="5" t="s">
        <v>90</v>
      </c>
      <c r="N100" s="5" t="s">
        <v>46</v>
      </c>
      <c r="O100" s="5">
        <v>3775</v>
      </c>
      <c r="P100" s="5" t="s">
        <v>29</v>
      </c>
      <c r="Q100" s="5" t="s">
        <v>48</v>
      </c>
      <c r="R100" s="5" t="s">
        <v>31</v>
      </c>
      <c r="S100" s="5" t="s">
        <v>32</v>
      </c>
      <c r="T100" s="5" t="s">
        <v>16</v>
      </c>
    </row>
    <row r="101" spans="1:20" ht="15.75" customHeight="1" x14ac:dyDescent="0.2">
      <c r="A101" s="5" t="s">
        <v>35</v>
      </c>
      <c r="B101" s="5">
        <v>12838</v>
      </c>
      <c r="C101" s="5">
        <v>3775</v>
      </c>
      <c r="D101" s="5">
        <v>30</v>
      </c>
      <c r="E101" s="5">
        <v>0.23</v>
      </c>
      <c r="F101" s="5">
        <v>3.4</v>
      </c>
      <c r="G101" s="5">
        <v>138</v>
      </c>
      <c r="H101" s="5">
        <v>10.75</v>
      </c>
      <c r="I101" s="5">
        <v>0</v>
      </c>
      <c r="J101" s="5">
        <v>0</v>
      </c>
      <c r="K101" s="5" t="s">
        <v>93</v>
      </c>
      <c r="L101" s="5" t="s">
        <v>92</v>
      </c>
      <c r="M101" s="5" t="s">
        <v>91</v>
      </c>
      <c r="N101" s="5" t="s">
        <v>46</v>
      </c>
      <c r="O101" s="5">
        <v>3775</v>
      </c>
      <c r="P101" s="5" t="s">
        <v>29</v>
      </c>
      <c r="Q101" s="5" t="s">
        <v>48</v>
      </c>
      <c r="R101" s="5" t="s">
        <v>31</v>
      </c>
      <c r="S101" s="5" t="s">
        <v>32</v>
      </c>
      <c r="T101" s="5" t="s">
        <v>16</v>
      </c>
    </row>
    <row r="102" spans="1:20" ht="15.75" customHeight="1" x14ac:dyDescent="0.2"/>
    <row r="103" spans="1:20" ht="15.75" customHeight="1" x14ac:dyDescent="0.2"/>
    <row r="104" spans="1:20" ht="15.75" customHeight="1" x14ac:dyDescent="0.2"/>
    <row r="105" spans="1:20" ht="15.75" customHeight="1" x14ac:dyDescent="0.2"/>
    <row r="106" spans="1:20" ht="15.75" customHeight="1" x14ac:dyDescent="0.2"/>
    <row r="107" spans="1:20" ht="15.75" customHeight="1" x14ac:dyDescent="0.2"/>
    <row r="108" spans="1:20" ht="15.75" customHeight="1" x14ac:dyDescent="0.2"/>
    <row r="109" spans="1:20" ht="15.75" customHeight="1" x14ac:dyDescent="0.2"/>
    <row r="110" spans="1:20" ht="15.75" customHeight="1" x14ac:dyDescent="0.2"/>
    <row r="111" spans="1:20" ht="15.75" customHeight="1" x14ac:dyDescent="0.2"/>
    <row r="112" spans="1:20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4" x14ac:dyDescent="0.2">
      <c r="A1" s="24" t="s">
        <v>9</v>
      </c>
      <c r="B1" s="24" t="s">
        <v>82</v>
      </c>
      <c r="C1" s="24" t="s">
        <v>94</v>
      </c>
      <c r="D1" s="24" t="s">
        <v>95</v>
      </c>
      <c r="E1" s="24" t="s">
        <v>96</v>
      </c>
      <c r="F1" s="24" t="s">
        <v>85</v>
      </c>
      <c r="G1" s="24" t="s">
        <v>86</v>
      </c>
      <c r="H1" s="24" t="s">
        <v>57</v>
      </c>
      <c r="I1" s="24" t="s">
        <v>8</v>
      </c>
      <c r="J1" s="24" t="s">
        <v>1</v>
      </c>
      <c r="K1" s="24" t="s">
        <v>2</v>
      </c>
      <c r="L1" s="24" t="s">
        <v>3</v>
      </c>
      <c r="M1" s="24" t="s">
        <v>4</v>
      </c>
      <c r="N1" s="24" t="s">
        <v>7</v>
      </c>
    </row>
    <row r="2" spans="1:14" x14ac:dyDescent="0.2">
      <c r="A2" s="5" t="s">
        <v>87</v>
      </c>
      <c r="B2" s="5">
        <v>0</v>
      </c>
      <c r="C2" s="5">
        <v>0</v>
      </c>
      <c r="D2" s="5" t="s">
        <v>97</v>
      </c>
      <c r="E2" s="5" t="s">
        <v>93</v>
      </c>
      <c r="F2" s="5" t="s">
        <v>88</v>
      </c>
      <c r="G2" s="5" t="s">
        <v>89</v>
      </c>
      <c r="H2" s="5" t="s">
        <v>60</v>
      </c>
      <c r="I2" s="5" t="s">
        <v>87</v>
      </c>
      <c r="J2" s="5" t="s">
        <v>29</v>
      </c>
      <c r="K2" s="5" t="s">
        <v>48</v>
      </c>
      <c r="L2" s="5" t="s">
        <v>31</v>
      </c>
      <c r="M2" s="5" t="s">
        <v>32</v>
      </c>
      <c r="N2" s="5" t="s">
        <v>16</v>
      </c>
    </row>
    <row r="3" spans="1:14" x14ac:dyDescent="0.2">
      <c r="A3" s="5" t="s">
        <v>34</v>
      </c>
      <c r="B3" s="5">
        <v>0</v>
      </c>
      <c r="C3" s="5">
        <v>0</v>
      </c>
      <c r="D3" s="5" t="s">
        <v>97</v>
      </c>
      <c r="E3" s="5" t="s">
        <v>93</v>
      </c>
      <c r="F3" s="5" t="s">
        <v>88</v>
      </c>
      <c r="G3" s="5" t="s">
        <v>90</v>
      </c>
      <c r="H3" s="5" t="s">
        <v>60</v>
      </c>
      <c r="I3" s="5" t="s">
        <v>34</v>
      </c>
      <c r="J3" s="5" t="s">
        <v>29</v>
      </c>
      <c r="K3" s="5" t="s">
        <v>48</v>
      </c>
      <c r="L3" s="5" t="s">
        <v>31</v>
      </c>
      <c r="M3" s="5" t="s">
        <v>32</v>
      </c>
      <c r="N3" s="5" t="s">
        <v>16</v>
      </c>
    </row>
    <row r="4" spans="1:14" x14ac:dyDescent="0.2">
      <c r="A4" s="5" t="s">
        <v>35</v>
      </c>
      <c r="B4" s="5">
        <v>0</v>
      </c>
      <c r="C4" s="5">
        <v>0</v>
      </c>
      <c r="D4" s="5" t="s">
        <v>97</v>
      </c>
      <c r="E4" s="5" t="s">
        <v>93</v>
      </c>
      <c r="F4" s="5" t="s">
        <v>88</v>
      </c>
      <c r="G4" s="5" t="s">
        <v>91</v>
      </c>
      <c r="H4" s="5" t="s">
        <v>60</v>
      </c>
      <c r="I4" s="5" t="s">
        <v>34</v>
      </c>
      <c r="J4" s="5" t="s">
        <v>29</v>
      </c>
      <c r="K4" s="5" t="s">
        <v>48</v>
      </c>
      <c r="L4" s="5" t="s">
        <v>31</v>
      </c>
      <c r="M4" s="5" t="s">
        <v>32</v>
      </c>
      <c r="N4" s="5" t="s">
        <v>16</v>
      </c>
    </row>
    <row r="5" spans="1:14" x14ac:dyDescent="0.2">
      <c r="A5" s="5" t="s">
        <v>36</v>
      </c>
      <c r="B5" s="5">
        <v>0</v>
      </c>
      <c r="C5" s="5">
        <v>0</v>
      </c>
      <c r="D5" s="5" t="s">
        <v>97</v>
      </c>
      <c r="E5" s="5" t="s">
        <v>93</v>
      </c>
      <c r="F5" s="5" t="s">
        <v>88</v>
      </c>
      <c r="G5" s="5" t="s">
        <v>90</v>
      </c>
      <c r="H5" s="5" t="s">
        <v>60</v>
      </c>
      <c r="I5" s="5" t="s">
        <v>36</v>
      </c>
      <c r="J5" s="5" t="s">
        <v>29</v>
      </c>
      <c r="K5" s="5" t="s">
        <v>48</v>
      </c>
      <c r="L5" s="5" t="s">
        <v>31</v>
      </c>
      <c r="M5" s="5" t="s">
        <v>32</v>
      </c>
      <c r="N5" s="5" t="s">
        <v>16</v>
      </c>
    </row>
    <row r="6" spans="1:14" x14ac:dyDescent="0.2">
      <c r="A6" s="5" t="s">
        <v>35</v>
      </c>
      <c r="B6" s="5">
        <v>0</v>
      </c>
      <c r="C6" s="5">
        <v>0</v>
      </c>
      <c r="D6" s="5" t="s">
        <v>97</v>
      </c>
      <c r="E6" s="5" t="s">
        <v>93</v>
      </c>
      <c r="F6" s="5" t="s">
        <v>88</v>
      </c>
      <c r="G6" s="5" t="s">
        <v>91</v>
      </c>
      <c r="H6" s="5" t="s">
        <v>60</v>
      </c>
      <c r="I6" s="5" t="s">
        <v>36</v>
      </c>
      <c r="J6" s="5" t="s">
        <v>29</v>
      </c>
      <c r="K6" s="5" t="s">
        <v>48</v>
      </c>
      <c r="L6" s="5" t="s">
        <v>31</v>
      </c>
      <c r="M6" s="5" t="s">
        <v>32</v>
      </c>
      <c r="N6" s="5" t="s">
        <v>16</v>
      </c>
    </row>
    <row r="7" spans="1:14" x14ac:dyDescent="0.2">
      <c r="A7" s="5" t="s">
        <v>37</v>
      </c>
      <c r="B7" s="5">
        <v>0</v>
      </c>
      <c r="C7" s="5">
        <v>0</v>
      </c>
      <c r="D7" s="5" t="s">
        <v>97</v>
      </c>
      <c r="E7" s="5" t="s">
        <v>93</v>
      </c>
      <c r="F7" s="5" t="s">
        <v>88</v>
      </c>
      <c r="G7" s="5" t="s">
        <v>90</v>
      </c>
      <c r="H7" s="5" t="s">
        <v>60</v>
      </c>
      <c r="I7" s="5" t="s">
        <v>37</v>
      </c>
      <c r="J7" s="5" t="s">
        <v>29</v>
      </c>
      <c r="K7" s="5" t="s">
        <v>48</v>
      </c>
      <c r="L7" s="5" t="s">
        <v>31</v>
      </c>
      <c r="M7" s="5" t="s">
        <v>32</v>
      </c>
      <c r="N7" s="5" t="s">
        <v>16</v>
      </c>
    </row>
    <row r="8" spans="1:14" x14ac:dyDescent="0.2">
      <c r="A8" s="5" t="s">
        <v>35</v>
      </c>
      <c r="B8" s="5">
        <v>0</v>
      </c>
      <c r="C8" s="5">
        <v>0</v>
      </c>
      <c r="D8" s="5" t="s">
        <v>97</v>
      </c>
      <c r="E8" s="5" t="s">
        <v>93</v>
      </c>
      <c r="F8" s="5" t="s">
        <v>88</v>
      </c>
      <c r="G8" s="5" t="s">
        <v>91</v>
      </c>
      <c r="H8" s="5" t="s">
        <v>60</v>
      </c>
      <c r="I8" s="5" t="s">
        <v>37</v>
      </c>
      <c r="J8" s="5" t="s">
        <v>29</v>
      </c>
      <c r="K8" s="5" t="s">
        <v>48</v>
      </c>
      <c r="L8" s="5" t="s">
        <v>31</v>
      </c>
      <c r="M8" s="5" t="s">
        <v>32</v>
      </c>
      <c r="N8" s="5" t="s">
        <v>16</v>
      </c>
    </row>
    <row r="9" spans="1:14" x14ac:dyDescent="0.2">
      <c r="A9" s="5" t="s">
        <v>38</v>
      </c>
      <c r="B9" s="5">
        <v>0</v>
      </c>
      <c r="C9" s="5">
        <v>0</v>
      </c>
      <c r="D9" s="5" t="s">
        <v>97</v>
      </c>
      <c r="E9" s="5" t="s">
        <v>93</v>
      </c>
      <c r="F9" s="5" t="s">
        <v>88</v>
      </c>
      <c r="G9" s="5" t="s">
        <v>90</v>
      </c>
      <c r="H9" s="5" t="s">
        <v>60</v>
      </c>
      <c r="I9" s="5" t="s">
        <v>38</v>
      </c>
      <c r="J9" s="5" t="s">
        <v>29</v>
      </c>
      <c r="K9" s="5" t="s">
        <v>48</v>
      </c>
      <c r="L9" s="5" t="s">
        <v>31</v>
      </c>
      <c r="M9" s="5" t="s">
        <v>32</v>
      </c>
      <c r="N9" s="5" t="s">
        <v>16</v>
      </c>
    </row>
    <row r="10" spans="1:14" x14ac:dyDescent="0.2">
      <c r="A10" s="5" t="s">
        <v>35</v>
      </c>
      <c r="B10" s="5">
        <v>0</v>
      </c>
      <c r="C10" s="5">
        <v>0</v>
      </c>
      <c r="D10" s="5" t="s">
        <v>97</v>
      </c>
      <c r="E10" s="5" t="s">
        <v>93</v>
      </c>
      <c r="F10" s="5" t="s">
        <v>88</v>
      </c>
      <c r="G10" s="5" t="s">
        <v>91</v>
      </c>
      <c r="H10" s="5" t="s">
        <v>60</v>
      </c>
      <c r="I10" s="5" t="s">
        <v>38</v>
      </c>
      <c r="J10" s="5" t="s">
        <v>29</v>
      </c>
      <c r="K10" s="5" t="s">
        <v>48</v>
      </c>
      <c r="L10" s="5" t="s">
        <v>31</v>
      </c>
      <c r="M10" s="5" t="s">
        <v>32</v>
      </c>
      <c r="N10" s="5" t="s">
        <v>16</v>
      </c>
    </row>
    <row r="11" spans="1:14" x14ac:dyDescent="0.2">
      <c r="A11" s="5" t="s">
        <v>39</v>
      </c>
      <c r="B11" s="5">
        <v>0</v>
      </c>
      <c r="C11" s="5">
        <v>0</v>
      </c>
      <c r="D11" s="5" t="s">
        <v>97</v>
      </c>
      <c r="E11" s="5" t="s">
        <v>93</v>
      </c>
      <c r="F11" s="5" t="s">
        <v>88</v>
      </c>
      <c r="G11" s="5" t="s">
        <v>90</v>
      </c>
      <c r="H11" s="5" t="s">
        <v>60</v>
      </c>
      <c r="I11" s="5" t="s">
        <v>39</v>
      </c>
      <c r="J11" s="5" t="s">
        <v>29</v>
      </c>
      <c r="K11" s="5" t="s">
        <v>48</v>
      </c>
      <c r="L11" s="5" t="s">
        <v>31</v>
      </c>
      <c r="M11" s="5" t="s">
        <v>32</v>
      </c>
      <c r="N11" s="5" t="s">
        <v>16</v>
      </c>
    </row>
    <row r="12" spans="1:14" x14ac:dyDescent="0.2">
      <c r="A12" s="5" t="s">
        <v>35</v>
      </c>
      <c r="B12" s="5">
        <v>0</v>
      </c>
      <c r="C12" s="5">
        <v>0</v>
      </c>
      <c r="D12" s="5" t="s">
        <v>97</v>
      </c>
      <c r="E12" s="5" t="s">
        <v>93</v>
      </c>
      <c r="F12" s="5" t="s">
        <v>88</v>
      </c>
      <c r="G12" s="5" t="s">
        <v>91</v>
      </c>
      <c r="H12" s="5" t="s">
        <v>60</v>
      </c>
      <c r="I12" s="5" t="s">
        <v>39</v>
      </c>
      <c r="J12" s="5" t="s">
        <v>29</v>
      </c>
      <c r="K12" s="5" t="s">
        <v>48</v>
      </c>
      <c r="L12" s="5" t="s">
        <v>31</v>
      </c>
      <c r="M12" s="5" t="s">
        <v>32</v>
      </c>
      <c r="N12" s="5" t="s">
        <v>16</v>
      </c>
    </row>
    <row r="13" spans="1:14" x14ac:dyDescent="0.2">
      <c r="A13" s="5" t="s">
        <v>40</v>
      </c>
      <c r="B13" s="5">
        <v>0</v>
      </c>
      <c r="C13" s="5">
        <v>0</v>
      </c>
      <c r="D13" s="5" t="s">
        <v>97</v>
      </c>
      <c r="E13" s="5" t="s">
        <v>93</v>
      </c>
      <c r="F13" s="5" t="s">
        <v>88</v>
      </c>
      <c r="G13" s="5" t="s">
        <v>90</v>
      </c>
      <c r="H13" s="5" t="s">
        <v>60</v>
      </c>
      <c r="I13" s="5" t="s">
        <v>40</v>
      </c>
      <c r="J13" s="5" t="s">
        <v>29</v>
      </c>
      <c r="K13" s="5" t="s">
        <v>48</v>
      </c>
      <c r="L13" s="5" t="s">
        <v>31</v>
      </c>
      <c r="M13" s="5" t="s">
        <v>32</v>
      </c>
      <c r="N13" s="5" t="s">
        <v>16</v>
      </c>
    </row>
    <row r="14" spans="1:14" x14ac:dyDescent="0.2">
      <c r="A14" s="5" t="s">
        <v>35</v>
      </c>
      <c r="B14" s="5">
        <v>0</v>
      </c>
      <c r="C14" s="5">
        <v>0</v>
      </c>
      <c r="D14" s="5" t="s">
        <v>97</v>
      </c>
      <c r="E14" s="5" t="s">
        <v>93</v>
      </c>
      <c r="F14" s="5" t="s">
        <v>88</v>
      </c>
      <c r="G14" s="5" t="s">
        <v>91</v>
      </c>
      <c r="H14" s="5" t="s">
        <v>60</v>
      </c>
      <c r="I14" s="5" t="s">
        <v>40</v>
      </c>
      <c r="J14" s="5" t="s">
        <v>29</v>
      </c>
      <c r="K14" s="5" t="s">
        <v>48</v>
      </c>
      <c r="L14" s="5" t="s">
        <v>31</v>
      </c>
      <c r="M14" s="5" t="s">
        <v>32</v>
      </c>
      <c r="N14" s="5" t="s">
        <v>16</v>
      </c>
    </row>
    <row r="15" spans="1:14" x14ac:dyDescent="0.2">
      <c r="A15" s="5" t="s">
        <v>41</v>
      </c>
      <c r="B15" s="5">
        <v>0</v>
      </c>
      <c r="C15" s="5">
        <v>0</v>
      </c>
      <c r="D15" s="5" t="s">
        <v>97</v>
      </c>
      <c r="E15" s="5" t="s">
        <v>93</v>
      </c>
      <c r="F15" s="5" t="s">
        <v>88</v>
      </c>
      <c r="G15" s="5" t="s">
        <v>90</v>
      </c>
      <c r="H15" s="5" t="s">
        <v>60</v>
      </c>
      <c r="I15" s="5" t="s">
        <v>41</v>
      </c>
      <c r="J15" s="5" t="s">
        <v>29</v>
      </c>
      <c r="K15" s="5" t="s">
        <v>48</v>
      </c>
      <c r="L15" s="5" t="s">
        <v>31</v>
      </c>
      <c r="M15" s="5" t="s">
        <v>32</v>
      </c>
      <c r="N15" s="5" t="s">
        <v>16</v>
      </c>
    </row>
    <row r="16" spans="1:14" x14ac:dyDescent="0.2">
      <c r="A16" s="5" t="s">
        <v>35</v>
      </c>
      <c r="B16" s="5">
        <v>0</v>
      </c>
      <c r="C16" s="5">
        <v>0</v>
      </c>
      <c r="D16" s="5" t="s">
        <v>97</v>
      </c>
      <c r="E16" s="5" t="s">
        <v>93</v>
      </c>
      <c r="F16" s="5" t="s">
        <v>88</v>
      </c>
      <c r="G16" s="5" t="s">
        <v>91</v>
      </c>
      <c r="H16" s="5" t="s">
        <v>60</v>
      </c>
      <c r="I16" s="5" t="s">
        <v>41</v>
      </c>
      <c r="J16" s="5" t="s">
        <v>29</v>
      </c>
      <c r="K16" s="5" t="s">
        <v>48</v>
      </c>
      <c r="L16" s="5" t="s">
        <v>31</v>
      </c>
      <c r="M16" s="5" t="s">
        <v>32</v>
      </c>
      <c r="N16" s="5" t="s">
        <v>16</v>
      </c>
    </row>
    <row r="17" spans="1:14" x14ac:dyDescent="0.2">
      <c r="A17" s="5" t="s">
        <v>42</v>
      </c>
      <c r="B17" s="5">
        <v>0</v>
      </c>
      <c r="C17" s="5">
        <v>0</v>
      </c>
      <c r="D17" s="5" t="s">
        <v>97</v>
      </c>
      <c r="E17" s="5" t="s">
        <v>93</v>
      </c>
      <c r="F17" s="5" t="s">
        <v>88</v>
      </c>
      <c r="G17" s="5" t="s">
        <v>90</v>
      </c>
      <c r="H17" s="5" t="s">
        <v>60</v>
      </c>
      <c r="I17" s="5" t="s">
        <v>42</v>
      </c>
      <c r="J17" s="5" t="s">
        <v>29</v>
      </c>
      <c r="K17" s="5" t="s">
        <v>48</v>
      </c>
      <c r="L17" s="5" t="s">
        <v>31</v>
      </c>
      <c r="M17" s="5" t="s">
        <v>32</v>
      </c>
      <c r="N17" s="5" t="s">
        <v>16</v>
      </c>
    </row>
    <row r="18" spans="1:14" x14ac:dyDescent="0.2">
      <c r="A18" s="5" t="s">
        <v>35</v>
      </c>
      <c r="B18" s="5">
        <v>0</v>
      </c>
      <c r="C18" s="5">
        <v>0</v>
      </c>
      <c r="D18" s="5" t="s">
        <v>97</v>
      </c>
      <c r="E18" s="5" t="s">
        <v>93</v>
      </c>
      <c r="F18" s="5" t="s">
        <v>88</v>
      </c>
      <c r="G18" s="5" t="s">
        <v>91</v>
      </c>
      <c r="H18" s="5" t="s">
        <v>60</v>
      </c>
      <c r="I18" s="5" t="s">
        <v>42</v>
      </c>
      <c r="J18" s="5" t="s">
        <v>29</v>
      </c>
      <c r="K18" s="5" t="s">
        <v>48</v>
      </c>
      <c r="L18" s="5" t="s">
        <v>31</v>
      </c>
      <c r="M18" s="5" t="s">
        <v>32</v>
      </c>
      <c r="N18" s="5" t="s">
        <v>16</v>
      </c>
    </row>
    <row r="19" spans="1:14" x14ac:dyDescent="0.2">
      <c r="A19" s="5" t="s">
        <v>43</v>
      </c>
      <c r="B19" s="5">
        <v>0</v>
      </c>
      <c r="C19" s="5">
        <v>0</v>
      </c>
      <c r="D19" s="5" t="s">
        <v>97</v>
      </c>
      <c r="E19" s="5" t="s">
        <v>93</v>
      </c>
      <c r="F19" s="5" t="s">
        <v>88</v>
      </c>
      <c r="G19" s="5" t="s">
        <v>90</v>
      </c>
      <c r="H19" s="5" t="s">
        <v>60</v>
      </c>
      <c r="I19" s="5" t="s">
        <v>43</v>
      </c>
      <c r="J19" s="5" t="s">
        <v>29</v>
      </c>
      <c r="K19" s="5" t="s">
        <v>48</v>
      </c>
      <c r="L19" s="5" t="s">
        <v>31</v>
      </c>
      <c r="M19" s="5" t="s">
        <v>32</v>
      </c>
      <c r="N19" s="5" t="s">
        <v>16</v>
      </c>
    </row>
    <row r="20" spans="1:14" x14ac:dyDescent="0.2">
      <c r="A20" s="5" t="s">
        <v>35</v>
      </c>
      <c r="B20" s="5">
        <v>0</v>
      </c>
      <c r="C20" s="5">
        <v>0</v>
      </c>
      <c r="D20" s="5" t="s">
        <v>97</v>
      </c>
      <c r="E20" s="5" t="s">
        <v>93</v>
      </c>
      <c r="F20" s="5" t="s">
        <v>88</v>
      </c>
      <c r="G20" s="5" t="s">
        <v>91</v>
      </c>
      <c r="H20" s="5" t="s">
        <v>60</v>
      </c>
      <c r="I20" s="5" t="s">
        <v>43</v>
      </c>
      <c r="J20" s="5" t="s">
        <v>29</v>
      </c>
      <c r="K20" s="5" t="s">
        <v>48</v>
      </c>
      <c r="L20" s="5" t="s">
        <v>31</v>
      </c>
      <c r="M20" s="5" t="s">
        <v>32</v>
      </c>
      <c r="N20" s="5" t="s">
        <v>16</v>
      </c>
    </row>
    <row r="21" spans="1:14" ht="15.75" customHeight="1" x14ac:dyDescent="0.2">
      <c r="A21" s="5" t="s">
        <v>44</v>
      </c>
      <c r="B21" s="5">
        <v>0</v>
      </c>
      <c r="C21" s="5">
        <v>0</v>
      </c>
      <c r="D21" s="5" t="s">
        <v>97</v>
      </c>
      <c r="E21" s="5" t="s">
        <v>93</v>
      </c>
      <c r="F21" s="5" t="s">
        <v>88</v>
      </c>
      <c r="G21" s="5" t="s">
        <v>90</v>
      </c>
      <c r="H21" s="5" t="s">
        <v>60</v>
      </c>
      <c r="I21" s="5" t="s">
        <v>44</v>
      </c>
      <c r="J21" s="5" t="s">
        <v>29</v>
      </c>
      <c r="K21" s="5" t="s">
        <v>48</v>
      </c>
      <c r="L21" s="5" t="s">
        <v>31</v>
      </c>
      <c r="M21" s="5" t="s">
        <v>32</v>
      </c>
      <c r="N21" s="5" t="s">
        <v>16</v>
      </c>
    </row>
    <row r="22" spans="1:14" ht="15.75" customHeight="1" x14ac:dyDescent="0.2">
      <c r="A22" s="5" t="s">
        <v>35</v>
      </c>
      <c r="B22" s="5">
        <v>0</v>
      </c>
      <c r="C22" s="5">
        <v>0</v>
      </c>
      <c r="D22" s="5" t="s">
        <v>97</v>
      </c>
      <c r="E22" s="5" t="s">
        <v>93</v>
      </c>
      <c r="F22" s="5" t="s">
        <v>88</v>
      </c>
      <c r="G22" s="5" t="s">
        <v>91</v>
      </c>
      <c r="H22" s="5" t="s">
        <v>60</v>
      </c>
      <c r="I22" s="5" t="s">
        <v>44</v>
      </c>
      <c r="J22" s="5" t="s">
        <v>29</v>
      </c>
      <c r="K22" s="5" t="s">
        <v>48</v>
      </c>
      <c r="L22" s="5" t="s">
        <v>31</v>
      </c>
      <c r="M22" s="5" t="s">
        <v>32</v>
      </c>
      <c r="N22" s="5" t="s">
        <v>16</v>
      </c>
    </row>
    <row r="23" spans="1:14" ht="15.75" customHeight="1" x14ac:dyDescent="0.2">
      <c r="A23" s="5" t="s">
        <v>45</v>
      </c>
      <c r="B23" s="5">
        <v>0</v>
      </c>
      <c r="C23" s="5">
        <v>0</v>
      </c>
      <c r="D23" s="5" t="s">
        <v>97</v>
      </c>
      <c r="E23" s="5" t="s">
        <v>93</v>
      </c>
      <c r="F23" s="5" t="s">
        <v>88</v>
      </c>
      <c r="G23" s="5" t="s">
        <v>90</v>
      </c>
      <c r="H23" s="5" t="s">
        <v>60</v>
      </c>
      <c r="I23" s="5" t="s">
        <v>45</v>
      </c>
      <c r="J23" s="5" t="s">
        <v>29</v>
      </c>
      <c r="K23" s="5" t="s">
        <v>48</v>
      </c>
      <c r="L23" s="5" t="s">
        <v>31</v>
      </c>
      <c r="M23" s="5" t="s">
        <v>32</v>
      </c>
      <c r="N23" s="5" t="s">
        <v>16</v>
      </c>
    </row>
    <row r="24" spans="1:14" ht="15.75" customHeight="1" x14ac:dyDescent="0.2">
      <c r="A24" s="5" t="s">
        <v>35</v>
      </c>
      <c r="B24" s="5">
        <v>0</v>
      </c>
      <c r="C24" s="5">
        <v>0</v>
      </c>
      <c r="D24" s="5" t="s">
        <v>97</v>
      </c>
      <c r="E24" s="5" t="s">
        <v>93</v>
      </c>
      <c r="F24" s="5" t="s">
        <v>88</v>
      </c>
      <c r="G24" s="5" t="s">
        <v>91</v>
      </c>
      <c r="H24" s="5" t="s">
        <v>60</v>
      </c>
      <c r="I24" s="5" t="s">
        <v>45</v>
      </c>
      <c r="J24" s="5" t="s">
        <v>29</v>
      </c>
      <c r="K24" s="5" t="s">
        <v>48</v>
      </c>
      <c r="L24" s="5" t="s">
        <v>31</v>
      </c>
      <c r="M24" s="5" t="s">
        <v>32</v>
      </c>
      <c r="N24" s="5" t="s">
        <v>16</v>
      </c>
    </row>
    <row r="25" spans="1:14" ht="15.75" customHeight="1" x14ac:dyDescent="0.2">
      <c r="A25" s="5" t="s">
        <v>46</v>
      </c>
      <c r="B25" s="5">
        <v>0</v>
      </c>
      <c r="C25" s="5">
        <v>0</v>
      </c>
      <c r="D25" s="5" t="s">
        <v>97</v>
      </c>
      <c r="E25" s="5" t="s">
        <v>93</v>
      </c>
      <c r="F25" s="5" t="s">
        <v>88</v>
      </c>
      <c r="G25" s="5" t="s">
        <v>90</v>
      </c>
      <c r="H25" s="5" t="s">
        <v>60</v>
      </c>
      <c r="I25" s="5" t="s">
        <v>46</v>
      </c>
      <c r="J25" s="5" t="s">
        <v>29</v>
      </c>
      <c r="K25" s="5" t="s">
        <v>48</v>
      </c>
      <c r="L25" s="5" t="s">
        <v>31</v>
      </c>
      <c r="M25" s="5" t="s">
        <v>32</v>
      </c>
      <c r="N25" s="5" t="s">
        <v>16</v>
      </c>
    </row>
    <row r="26" spans="1:14" ht="15.75" customHeight="1" x14ac:dyDescent="0.2">
      <c r="A26" s="5" t="s">
        <v>35</v>
      </c>
      <c r="B26" s="5">
        <v>0</v>
      </c>
      <c r="C26" s="5">
        <v>0</v>
      </c>
      <c r="D26" s="5" t="s">
        <v>97</v>
      </c>
      <c r="E26" s="5" t="s">
        <v>93</v>
      </c>
      <c r="F26" s="5" t="s">
        <v>88</v>
      </c>
      <c r="G26" s="5" t="s">
        <v>91</v>
      </c>
      <c r="H26" s="5" t="s">
        <v>60</v>
      </c>
      <c r="I26" s="5" t="s">
        <v>46</v>
      </c>
      <c r="J26" s="5" t="s">
        <v>29</v>
      </c>
      <c r="K26" s="5" t="s">
        <v>48</v>
      </c>
      <c r="L26" s="5" t="s">
        <v>31</v>
      </c>
      <c r="M26" s="5" t="s">
        <v>32</v>
      </c>
      <c r="N26" s="5" t="s">
        <v>16</v>
      </c>
    </row>
    <row r="27" spans="1:14" ht="15.75" customHeight="1" x14ac:dyDescent="0.2">
      <c r="A27" s="5" t="s">
        <v>87</v>
      </c>
      <c r="B27" s="5">
        <v>1</v>
      </c>
      <c r="C27" s="5">
        <v>75.75</v>
      </c>
      <c r="D27" s="5" t="s">
        <v>98</v>
      </c>
      <c r="E27" s="5" t="s">
        <v>93</v>
      </c>
      <c r="F27" s="5" t="s">
        <v>88</v>
      </c>
      <c r="G27" s="5" t="s">
        <v>89</v>
      </c>
      <c r="H27" s="5" t="s">
        <v>61</v>
      </c>
      <c r="I27" s="5" t="s">
        <v>87</v>
      </c>
      <c r="J27" s="5" t="s">
        <v>29</v>
      </c>
      <c r="K27" s="5" t="s">
        <v>48</v>
      </c>
      <c r="L27" s="5" t="s">
        <v>31</v>
      </c>
      <c r="M27" s="5" t="s">
        <v>32</v>
      </c>
      <c r="N27" s="5" t="s">
        <v>16</v>
      </c>
    </row>
    <row r="28" spans="1:14" ht="15.75" customHeight="1" x14ac:dyDescent="0.2">
      <c r="A28" s="5" t="s">
        <v>34</v>
      </c>
      <c r="B28" s="5">
        <v>0</v>
      </c>
      <c r="C28" s="5">
        <v>0</v>
      </c>
      <c r="D28" s="5" t="s">
        <v>98</v>
      </c>
      <c r="E28" s="5" t="s">
        <v>93</v>
      </c>
      <c r="F28" s="5" t="s">
        <v>88</v>
      </c>
      <c r="G28" s="5" t="s">
        <v>90</v>
      </c>
      <c r="H28" s="5" t="s">
        <v>61</v>
      </c>
      <c r="I28" s="5" t="s">
        <v>34</v>
      </c>
      <c r="J28" s="5" t="s">
        <v>29</v>
      </c>
      <c r="K28" s="5" t="s">
        <v>48</v>
      </c>
      <c r="L28" s="5" t="s">
        <v>31</v>
      </c>
      <c r="M28" s="5" t="s">
        <v>32</v>
      </c>
      <c r="N28" s="5" t="s">
        <v>16</v>
      </c>
    </row>
    <row r="29" spans="1:14" ht="15.75" customHeight="1" x14ac:dyDescent="0.2">
      <c r="A29" s="5" t="s">
        <v>35</v>
      </c>
      <c r="B29" s="5">
        <v>0</v>
      </c>
      <c r="C29" s="5">
        <v>0</v>
      </c>
      <c r="D29" s="5" t="s">
        <v>98</v>
      </c>
      <c r="E29" s="5" t="s">
        <v>93</v>
      </c>
      <c r="F29" s="5" t="s">
        <v>88</v>
      </c>
      <c r="G29" s="5" t="s">
        <v>91</v>
      </c>
      <c r="H29" s="5" t="s">
        <v>61</v>
      </c>
      <c r="I29" s="5" t="s">
        <v>34</v>
      </c>
      <c r="J29" s="5" t="s">
        <v>29</v>
      </c>
      <c r="K29" s="5" t="s">
        <v>48</v>
      </c>
      <c r="L29" s="5" t="s">
        <v>31</v>
      </c>
      <c r="M29" s="5" t="s">
        <v>32</v>
      </c>
      <c r="N29" s="5" t="s">
        <v>16</v>
      </c>
    </row>
    <row r="30" spans="1:14" ht="15.75" customHeight="1" x14ac:dyDescent="0.2">
      <c r="A30" s="5" t="s">
        <v>36</v>
      </c>
      <c r="B30" s="5">
        <v>0</v>
      </c>
      <c r="C30" s="5">
        <v>0</v>
      </c>
      <c r="D30" s="5" t="s">
        <v>98</v>
      </c>
      <c r="E30" s="5" t="s">
        <v>93</v>
      </c>
      <c r="F30" s="5" t="s">
        <v>88</v>
      </c>
      <c r="G30" s="5" t="s">
        <v>90</v>
      </c>
      <c r="H30" s="5" t="s">
        <v>61</v>
      </c>
      <c r="I30" s="5" t="s">
        <v>36</v>
      </c>
      <c r="J30" s="5" t="s">
        <v>29</v>
      </c>
      <c r="K30" s="5" t="s">
        <v>48</v>
      </c>
      <c r="L30" s="5" t="s">
        <v>31</v>
      </c>
      <c r="M30" s="5" t="s">
        <v>32</v>
      </c>
      <c r="N30" s="5" t="s">
        <v>16</v>
      </c>
    </row>
    <row r="31" spans="1:14" ht="15.75" customHeight="1" x14ac:dyDescent="0.2">
      <c r="A31" s="5" t="s">
        <v>35</v>
      </c>
      <c r="B31" s="5">
        <v>0</v>
      </c>
      <c r="C31" s="5">
        <v>0</v>
      </c>
      <c r="D31" s="5" t="s">
        <v>98</v>
      </c>
      <c r="E31" s="5" t="s">
        <v>93</v>
      </c>
      <c r="F31" s="5" t="s">
        <v>88</v>
      </c>
      <c r="G31" s="5" t="s">
        <v>91</v>
      </c>
      <c r="H31" s="5" t="s">
        <v>61</v>
      </c>
      <c r="I31" s="5" t="s">
        <v>36</v>
      </c>
      <c r="J31" s="5" t="s">
        <v>29</v>
      </c>
      <c r="K31" s="5" t="s">
        <v>48</v>
      </c>
      <c r="L31" s="5" t="s">
        <v>31</v>
      </c>
      <c r="M31" s="5" t="s">
        <v>32</v>
      </c>
      <c r="N31" s="5" t="s">
        <v>16</v>
      </c>
    </row>
    <row r="32" spans="1:14" ht="15.75" customHeight="1" x14ac:dyDescent="0.2">
      <c r="A32" s="5" t="s">
        <v>37</v>
      </c>
      <c r="B32" s="5">
        <v>1</v>
      </c>
      <c r="C32" s="5">
        <v>75.75</v>
      </c>
      <c r="D32" s="5" t="s">
        <v>98</v>
      </c>
      <c r="E32" s="5" t="s">
        <v>93</v>
      </c>
      <c r="F32" s="5" t="s">
        <v>88</v>
      </c>
      <c r="G32" s="5" t="s">
        <v>90</v>
      </c>
      <c r="H32" s="5" t="s">
        <v>61</v>
      </c>
      <c r="I32" s="5" t="s">
        <v>37</v>
      </c>
      <c r="J32" s="5" t="s">
        <v>29</v>
      </c>
      <c r="K32" s="5" t="s">
        <v>48</v>
      </c>
      <c r="L32" s="5" t="s">
        <v>31</v>
      </c>
      <c r="M32" s="5" t="s">
        <v>32</v>
      </c>
      <c r="N32" s="5" t="s">
        <v>16</v>
      </c>
    </row>
    <row r="33" spans="1:14" ht="15.75" customHeight="1" x14ac:dyDescent="0.2">
      <c r="A33" s="5" t="s">
        <v>35</v>
      </c>
      <c r="B33" s="5">
        <v>1</v>
      </c>
      <c r="C33" s="5">
        <v>75.75</v>
      </c>
      <c r="D33" s="5" t="s">
        <v>98</v>
      </c>
      <c r="E33" s="5" t="s">
        <v>93</v>
      </c>
      <c r="F33" s="5" t="s">
        <v>88</v>
      </c>
      <c r="G33" s="5" t="s">
        <v>91</v>
      </c>
      <c r="H33" s="5" t="s">
        <v>61</v>
      </c>
      <c r="I33" s="5" t="s">
        <v>37</v>
      </c>
      <c r="J33" s="5" t="s">
        <v>29</v>
      </c>
      <c r="K33" s="5" t="s">
        <v>48</v>
      </c>
      <c r="L33" s="5" t="s">
        <v>31</v>
      </c>
      <c r="M33" s="5" t="s">
        <v>32</v>
      </c>
      <c r="N33" s="5" t="s">
        <v>16</v>
      </c>
    </row>
    <row r="34" spans="1:14" ht="15.75" customHeight="1" x14ac:dyDescent="0.2">
      <c r="A34" s="5" t="s">
        <v>38</v>
      </c>
      <c r="B34" s="5">
        <v>0</v>
      </c>
      <c r="C34" s="5">
        <v>0</v>
      </c>
      <c r="D34" s="5" t="s">
        <v>98</v>
      </c>
      <c r="E34" s="5" t="s">
        <v>93</v>
      </c>
      <c r="F34" s="5" t="s">
        <v>88</v>
      </c>
      <c r="G34" s="5" t="s">
        <v>90</v>
      </c>
      <c r="H34" s="5" t="s">
        <v>61</v>
      </c>
      <c r="I34" s="5" t="s">
        <v>38</v>
      </c>
      <c r="J34" s="5" t="s">
        <v>29</v>
      </c>
      <c r="K34" s="5" t="s">
        <v>48</v>
      </c>
      <c r="L34" s="5" t="s">
        <v>31</v>
      </c>
      <c r="M34" s="5" t="s">
        <v>32</v>
      </c>
      <c r="N34" s="5" t="s">
        <v>16</v>
      </c>
    </row>
    <row r="35" spans="1:14" ht="15.75" customHeight="1" x14ac:dyDescent="0.2">
      <c r="A35" s="5" t="s">
        <v>35</v>
      </c>
      <c r="B35" s="5">
        <v>0</v>
      </c>
      <c r="C35" s="5">
        <v>0</v>
      </c>
      <c r="D35" s="5" t="s">
        <v>98</v>
      </c>
      <c r="E35" s="5" t="s">
        <v>93</v>
      </c>
      <c r="F35" s="5" t="s">
        <v>88</v>
      </c>
      <c r="G35" s="5" t="s">
        <v>91</v>
      </c>
      <c r="H35" s="5" t="s">
        <v>61</v>
      </c>
      <c r="I35" s="5" t="s">
        <v>38</v>
      </c>
      <c r="J35" s="5" t="s">
        <v>29</v>
      </c>
      <c r="K35" s="5" t="s">
        <v>48</v>
      </c>
      <c r="L35" s="5" t="s">
        <v>31</v>
      </c>
      <c r="M35" s="5" t="s">
        <v>32</v>
      </c>
      <c r="N35" s="5" t="s">
        <v>16</v>
      </c>
    </row>
    <row r="36" spans="1:14" ht="15.75" customHeight="1" x14ac:dyDescent="0.2">
      <c r="A36" s="5" t="s">
        <v>39</v>
      </c>
      <c r="B36" s="5">
        <v>0</v>
      </c>
      <c r="C36" s="5">
        <v>0</v>
      </c>
      <c r="D36" s="5" t="s">
        <v>98</v>
      </c>
      <c r="E36" s="5" t="s">
        <v>93</v>
      </c>
      <c r="F36" s="5" t="s">
        <v>88</v>
      </c>
      <c r="G36" s="5" t="s">
        <v>90</v>
      </c>
      <c r="H36" s="5" t="s">
        <v>61</v>
      </c>
      <c r="I36" s="5" t="s">
        <v>39</v>
      </c>
      <c r="J36" s="5" t="s">
        <v>29</v>
      </c>
      <c r="K36" s="5" t="s">
        <v>48</v>
      </c>
      <c r="L36" s="5" t="s">
        <v>31</v>
      </c>
      <c r="M36" s="5" t="s">
        <v>32</v>
      </c>
      <c r="N36" s="5" t="s">
        <v>16</v>
      </c>
    </row>
    <row r="37" spans="1:14" ht="15.75" customHeight="1" x14ac:dyDescent="0.2">
      <c r="A37" s="5" t="s">
        <v>35</v>
      </c>
      <c r="B37" s="5">
        <v>0</v>
      </c>
      <c r="C37" s="5">
        <v>0</v>
      </c>
      <c r="D37" s="5" t="s">
        <v>98</v>
      </c>
      <c r="E37" s="5" t="s">
        <v>93</v>
      </c>
      <c r="F37" s="5" t="s">
        <v>88</v>
      </c>
      <c r="G37" s="5" t="s">
        <v>91</v>
      </c>
      <c r="H37" s="5" t="s">
        <v>61</v>
      </c>
      <c r="I37" s="5" t="s">
        <v>39</v>
      </c>
      <c r="J37" s="5" t="s">
        <v>29</v>
      </c>
      <c r="K37" s="5" t="s">
        <v>48</v>
      </c>
      <c r="L37" s="5" t="s">
        <v>31</v>
      </c>
      <c r="M37" s="5" t="s">
        <v>32</v>
      </c>
      <c r="N37" s="5" t="s">
        <v>16</v>
      </c>
    </row>
    <row r="38" spans="1:14" ht="15.75" customHeight="1" x14ac:dyDescent="0.2">
      <c r="A38" s="5" t="s">
        <v>40</v>
      </c>
      <c r="B38" s="5">
        <v>0</v>
      </c>
      <c r="C38" s="5">
        <v>0</v>
      </c>
      <c r="D38" s="5" t="s">
        <v>98</v>
      </c>
      <c r="E38" s="5" t="s">
        <v>93</v>
      </c>
      <c r="F38" s="5" t="s">
        <v>88</v>
      </c>
      <c r="G38" s="5" t="s">
        <v>90</v>
      </c>
      <c r="H38" s="5" t="s">
        <v>61</v>
      </c>
      <c r="I38" s="5" t="s">
        <v>40</v>
      </c>
      <c r="J38" s="5" t="s">
        <v>29</v>
      </c>
      <c r="K38" s="5" t="s">
        <v>48</v>
      </c>
      <c r="L38" s="5" t="s">
        <v>31</v>
      </c>
      <c r="M38" s="5" t="s">
        <v>32</v>
      </c>
      <c r="N38" s="5" t="s">
        <v>16</v>
      </c>
    </row>
    <row r="39" spans="1:14" ht="15.75" customHeight="1" x14ac:dyDescent="0.2">
      <c r="A39" s="5" t="s">
        <v>35</v>
      </c>
      <c r="B39" s="5">
        <v>0</v>
      </c>
      <c r="C39" s="5">
        <v>0</v>
      </c>
      <c r="D39" s="5" t="s">
        <v>98</v>
      </c>
      <c r="E39" s="5" t="s">
        <v>93</v>
      </c>
      <c r="F39" s="5" t="s">
        <v>88</v>
      </c>
      <c r="G39" s="5" t="s">
        <v>91</v>
      </c>
      <c r="H39" s="5" t="s">
        <v>61</v>
      </c>
      <c r="I39" s="5" t="s">
        <v>40</v>
      </c>
      <c r="J39" s="5" t="s">
        <v>29</v>
      </c>
      <c r="K39" s="5" t="s">
        <v>48</v>
      </c>
      <c r="L39" s="5" t="s">
        <v>31</v>
      </c>
      <c r="M39" s="5" t="s">
        <v>32</v>
      </c>
      <c r="N39" s="5" t="s">
        <v>16</v>
      </c>
    </row>
    <row r="40" spans="1:14" ht="15.75" customHeight="1" x14ac:dyDescent="0.2">
      <c r="A40" s="5" t="s">
        <v>41</v>
      </c>
      <c r="B40" s="5">
        <v>0</v>
      </c>
      <c r="C40" s="5">
        <v>0</v>
      </c>
      <c r="D40" s="5" t="s">
        <v>98</v>
      </c>
      <c r="E40" s="5" t="s">
        <v>93</v>
      </c>
      <c r="F40" s="5" t="s">
        <v>88</v>
      </c>
      <c r="G40" s="5" t="s">
        <v>90</v>
      </c>
      <c r="H40" s="5" t="s">
        <v>61</v>
      </c>
      <c r="I40" s="5" t="s">
        <v>41</v>
      </c>
      <c r="J40" s="5" t="s">
        <v>29</v>
      </c>
      <c r="K40" s="5" t="s">
        <v>48</v>
      </c>
      <c r="L40" s="5" t="s">
        <v>31</v>
      </c>
      <c r="M40" s="5" t="s">
        <v>32</v>
      </c>
      <c r="N40" s="5" t="s">
        <v>16</v>
      </c>
    </row>
    <row r="41" spans="1:14" ht="15.75" customHeight="1" x14ac:dyDescent="0.2">
      <c r="A41" s="5" t="s">
        <v>35</v>
      </c>
      <c r="B41" s="5">
        <v>0</v>
      </c>
      <c r="C41" s="5">
        <v>0</v>
      </c>
      <c r="D41" s="5" t="s">
        <v>98</v>
      </c>
      <c r="E41" s="5" t="s">
        <v>93</v>
      </c>
      <c r="F41" s="5" t="s">
        <v>88</v>
      </c>
      <c r="G41" s="5" t="s">
        <v>91</v>
      </c>
      <c r="H41" s="5" t="s">
        <v>61</v>
      </c>
      <c r="I41" s="5" t="s">
        <v>41</v>
      </c>
      <c r="J41" s="5" t="s">
        <v>29</v>
      </c>
      <c r="K41" s="5" t="s">
        <v>48</v>
      </c>
      <c r="L41" s="5" t="s">
        <v>31</v>
      </c>
      <c r="M41" s="5" t="s">
        <v>32</v>
      </c>
      <c r="N41" s="5" t="s">
        <v>16</v>
      </c>
    </row>
    <row r="42" spans="1:14" ht="15.75" customHeight="1" x14ac:dyDescent="0.2">
      <c r="A42" s="5" t="s">
        <v>42</v>
      </c>
      <c r="B42" s="5">
        <v>0</v>
      </c>
      <c r="C42" s="5">
        <v>0</v>
      </c>
      <c r="D42" s="5" t="s">
        <v>98</v>
      </c>
      <c r="E42" s="5" t="s">
        <v>93</v>
      </c>
      <c r="F42" s="5" t="s">
        <v>88</v>
      </c>
      <c r="G42" s="5" t="s">
        <v>90</v>
      </c>
      <c r="H42" s="5" t="s">
        <v>61</v>
      </c>
      <c r="I42" s="5" t="s">
        <v>42</v>
      </c>
      <c r="J42" s="5" t="s">
        <v>29</v>
      </c>
      <c r="K42" s="5" t="s">
        <v>48</v>
      </c>
      <c r="L42" s="5" t="s">
        <v>31</v>
      </c>
      <c r="M42" s="5" t="s">
        <v>32</v>
      </c>
      <c r="N42" s="5" t="s">
        <v>16</v>
      </c>
    </row>
    <row r="43" spans="1:14" ht="15.75" customHeight="1" x14ac:dyDescent="0.2">
      <c r="A43" s="5" t="s">
        <v>35</v>
      </c>
      <c r="B43" s="5">
        <v>0</v>
      </c>
      <c r="C43" s="5">
        <v>0</v>
      </c>
      <c r="D43" s="5" t="s">
        <v>98</v>
      </c>
      <c r="E43" s="5" t="s">
        <v>93</v>
      </c>
      <c r="F43" s="5" t="s">
        <v>88</v>
      </c>
      <c r="G43" s="5" t="s">
        <v>91</v>
      </c>
      <c r="H43" s="5" t="s">
        <v>61</v>
      </c>
      <c r="I43" s="5" t="s">
        <v>42</v>
      </c>
      <c r="J43" s="5" t="s">
        <v>29</v>
      </c>
      <c r="K43" s="5" t="s">
        <v>48</v>
      </c>
      <c r="L43" s="5" t="s">
        <v>31</v>
      </c>
      <c r="M43" s="5" t="s">
        <v>32</v>
      </c>
      <c r="N43" s="5" t="s">
        <v>16</v>
      </c>
    </row>
    <row r="44" spans="1:14" ht="15.75" customHeight="1" x14ac:dyDescent="0.2">
      <c r="A44" s="5" t="s">
        <v>43</v>
      </c>
      <c r="B44" s="5">
        <v>0</v>
      </c>
      <c r="C44" s="5">
        <v>0</v>
      </c>
      <c r="D44" s="5" t="s">
        <v>98</v>
      </c>
      <c r="E44" s="5" t="s">
        <v>93</v>
      </c>
      <c r="F44" s="5" t="s">
        <v>88</v>
      </c>
      <c r="G44" s="5" t="s">
        <v>90</v>
      </c>
      <c r="H44" s="5" t="s">
        <v>61</v>
      </c>
      <c r="I44" s="5" t="s">
        <v>43</v>
      </c>
      <c r="J44" s="5" t="s">
        <v>29</v>
      </c>
      <c r="K44" s="5" t="s">
        <v>48</v>
      </c>
      <c r="L44" s="5" t="s">
        <v>31</v>
      </c>
      <c r="M44" s="5" t="s">
        <v>32</v>
      </c>
      <c r="N44" s="5" t="s">
        <v>16</v>
      </c>
    </row>
    <row r="45" spans="1:14" ht="15.75" customHeight="1" x14ac:dyDescent="0.2">
      <c r="A45" s="5" t="s">
        <v>35</v>
      </c>
      <c r="B45" s="5">
        <v>0</v>
      </c>
      <c r="C45" s="5">
        <v>0</v>
      </c>
      <c r="D45" s="5" t="s">
        <v>98</v>
      </c>
      <c r="E45" s="5" t="s">
        <v>93</v>
      </c>
      <c r="F45" s="5" t="s">
        <v>88</v>
      </c>
      <c r="G45" s="5" t="s">
        <v>91</v>
      </c>
      <c r="H45" s="5" t="s">
        <v>61</v>
      </c>
      <c r="I45" s="5" t="s">
        <v>43</v>
      </c>
      <c r="J45" s="5" t="s">
        <v>29</v>
      </c>
      <c r="K45" s="5" t="s">
        <v>48</v>
      </c>
      <c r="L45" s="5" t="s">
        <v>31</v>
      </c>
      <c r="M45" s="5" t="s">
        <v>32</v>
      </c>
      <c r="N45" s="5" t="s">
        <v>16</v>
      </c>
    </row>
    <row r="46" spans="1:14" ht="15.75" customHeight="1" x14ac:dyDescent="0.2">
      <c r="A46" s="5" t="s">
        <v>44</v>
      </c>
      <c r="B46" s="5">
        <v>0</v>
      </c>
      <c r="C46" s="5">
        <v>0</v>
      </c>
      <c r="D46" s="5" t="s">
        <v>98</v>
      </c>
      <c r="E46" s="5" t="s">
        <v>93</v>
      </c>
      <c r="F46" s="5" t="s">
        <v>88</v>
      </c>
      <c r="G46" s="5" t="s">
        <v>90</v>
      </c>
      <c r="H46" s="5" t="s">
        <v>61</v>
      </c>
      <c r="I46" s="5" t="s">
        <v>44</v>
      </c>
      <c r="J46" s="5" t="s">
        <v>29</v>
      </c>
      <c r="K46" s="5" t="s">
        <v>48</v>
      </c>
      <c r="L46" s="5" t="s">
        <v>31</v>
      </c>
      <c r="M46" s="5" t="s">
        <v>32</v>
      </c>
      <c r="N46" s="5" t="s">
        <v>16</v>
      </c>
    </row>
    <row r="47" spans="1:14" ht="15.75" customHeight="1" x14ac:dyDescent="0.2">
      <c r="A47" s="5" t="s">
        <v>35</v>
      </c>
      <c r="B47" s="5">
        <v>0</v>
      </c>
      <c r="C47" s="5">
        <v>0</v>
      </c>
      <c r="D47" s="5" t="s">
        <v>98</v>
      </c>
      <c r="E47" s="5" t="s">
        <v>93</v>
      </c>
      <c r="F47" s="5" t="s">
        <v>88</v>
      </c>
      <c r="G47" s="5" t="s">
        <v>91</v>
      </c>
      <c r="H47" s="5" t="s">
        <v>61</v>
      </c>
      <c r="I47" s="5" t="s">
        <v>44</v>
      </c>
      <c r="J47" s="5" t="s">
        <v>29</v>
      </c>
      <c r="K47" s="5" t="s">
        <v>48</v>
      </c>
      <c r="L47" s="5" t="s">
        <v>31</v>
      </c>
      <c r="M47" s="5" t="s">
        <v>32</v>
      </c>
      <c r="N47" s="5" t="s">
        <v>16</v>
      </c>
    </row>
    <row r="48" spans="1:14" ht="15.75" customHeight="1" x14ac:dyDescent="0.2">
      <c r="A48" s="5" t="s">
        <v>45</v>
      </c>
      <c r="B48" s="5">
        <v>0</v>
      </c>
      <c r="C48" s="5">
        <v>0</v>
      </c>
      <c r="D48" s="5" t="s">
        <v>98</v>
      </c>
      <c r="E48" s="5" t="s">
        <v>93</v>
      </c>
      <c r="F48" s="5" t="s">
        <v>88</v>
      </c>
      <c r="G48" s="5" t="s">
        <v>90</v>
      </c>
      <c r="H48" s="5" t="s">
        <v>61</v>
      </c>
      <c r="I48" s="5" t="s">
        <v>45</v>
      </c>
      <c r="J48" s="5" t="s">
        <v>29</v>
      </c>
      <c r="K48" s="5" t="s">
        <v>48</v>
      </c>
      <c r="L48" s="5" t="s">
        <v>31</v>
      </c>
      <c r="M48" s="5" t="s">
        <v>32</v>
      </c>
      <c r="N48" s="5" t="s">
        <v>16</v>
      </c>
    </row>
    <row r="49" spans="1:14" ht="15.75" customHeight="1" x14ac:dyDescent="0.2">
      <c r="A49" s="5" t="s">
        <v>35</v>
      </c>
      <c r="B49" s="5">
        <v>0</v>
      </c>
      <c r="C49" s="5">
        <v>0</v>
      </c>
      <c r="D49" s="5" t="s">
        <v>98</v>
      </c>
      <c r="E49" s="5" t="s">
        <v>93</v>
      </c>
      <c r="F49" s="5" t="s">
        <v>88</v>
      </c>
      <c r="G49" s="5" t="s">
        <v>91</v>
      </c>
      <c r="H49" s="5" t="s">
        <v>61</v>
      </c>
      <c r="I49" s="5" t="s">
        <v>45</v>
      </c>
      <c r="J49" s="5" t="s">
        <v>29</v>
      </c>
      <c r="K49" s="5" t="s">
        <v>48</v>
      </c>
      <c r="L49" s="5" t="s">
        <v>31</v>
      </c>
      <c r="M49" s="5" t="s">
        <v>32</v>
      </c>
      <c r="N49" s="5" t="s">
        <v>16</v>
      </c>
    </row>
    <row r="50" spans="1:14" ht="15.75" customHeight="1" x14ac:dyDescent="0.2">
      <c r="A50" s="5" t="s">
        <v>46</v>
      </c>
      <c r="B50" s="5">
        <v>0</v>
      </c>
      <c r="C50" s="5">
        <v>0</v>
      </c>
      <c r="D50" s="5" t="s">
        <v>98</v>
      </c>
      <c r="E50" s="5" t="s">
        <v>93</v>
      </c>
      <c r="F50" s="5" t="s">
        <v>88</v>
      </c>
      <c r="G50" s="5" t="s">
        <v>90</v>
      </c>
      <c r="H50" s="5" t="s">
        <v>61</v>
      </c>
      <c r="I50" s="5" t="s">
        <v>46</v>
      </c>
      <c r="J50" s="5" t="s">
        <v>29</v>
      </c>
      <c r="K50" s="5" t="s">
        <v>48</v>
      </c>
      <c r="L50" s="5" t="s">
        <v>31</v>
      </c>
      <c r="M50" s="5" t="s">
        <v>32</v>
      </c>
      <c r="N50" s="5" t="s">
        <v>16</v>
      </c>
    </row>
    <row r="51" spans="1:14" ht="15.75" customHeight="1" x14ac:dyDescent="0.2">
      <c r="A51" s="5" t="s">
        <v>35</v>
      </c>
      <c r="B51" s="5">
        <v>0</v>
      </c>
      <c r="C51" s="5">
        <v>0</v>
      </c>
      <c r="D51" s="5" t="s">
        <v>98</v>
      </c>
      <c r="E51" s="5" t="s">
        <v>93</v>
      </c>
      <c r="F51" s="5" t="s">
        <v>88</v>
      </c>
      <c r="G51" s="5" t="s">
        <v>91</v>
      </c>
      <c r="H51" s="5" t="s">
        <v>61</v>
      </c>
      <c r="I51" s="5" t="s">
        <v>46</v>
      </c>
      <c r="J51" s="5" t="s">
        <v>29</v>
      </c>
      <c r="K51" s="5" t="s">
        <v>48</v>
      </c>
      <c r="L51" s="5" t="s">
        <v>31</v>
      </c>
      <c r="M51" s="5" t="s">
        <v>32</v>
      </c>
      <c r="N51" s="5" t="s">
        <v>16</v>
      </c>
    </row>
    <row r="52" spans="1:14" ht="15.75" customHeight="1" x14ac:dyDescent="0.2">
      <c r="A52" s="5" t="s">
        <v>87</v>
      </c>
      <c r="B52" s="5">
        <v>1</v>
      </c>
      <c r="C52" s="5">
        <v>75.75</v>
      </c>
      <c r="D52" s="5" t="s">
        <v>99</v>
      </c>
      <c r="E52" s="5" t="s">
        <v>93</v>
      </c>
      <c r="F52" s="5" t="s">
        <v>88</v>
      </c>
      <c r="G52" s="5" t="s">
        <v>89</v>
      </c>
      <c r="H52" s="5" t="s">
        <v>60</v>
      </c>
      <c r="I52" s="5" t="s">
        <v>87</v>
      </c>
      <c r="J52" s="5" t="s">
        <v>29</v>
      </c>
      <c r="K52" s="5" t="s">
        <v>48</v>
      </c>
      <c r="L52" s="5" t="s">
        <v>31</v>
      </c>
      <c r="M52" s="5" t="s">
        <v>32</v>
      </c>
      <c r="N52" s="5" t="s">
        <v>16</v>
      </c>
    </row>
    <row r="53" spans="1:14" ht="15.75" customHeight="1" x14ac:dyDescent="0.2">
      <c r="A53" s="5" t="s">
        <v>34</v>
      </c>
      <c r="B53" s="5">
        <v>0</v>
      </c>
      <c r="C53" s="5">
        <v>0</v>
      </c>
      <c r="D53" s="5" t="s">
        <v>99</v>
      </c>
      <c r="E53" s="5" t="s">
        <v>93</v>
      </c>
      <c r="F53" s="5" t="s">
        <v>88</v>
      </c>
      <c r="G53" s="5" t="s">
        <v>90</v>
      </c>
      <c r="H53" s="5" t="s">
        <v>60</v>
      </c>
      <c r="I53" s="5" t="s">
        <v>34</v>
      </c>
      <c r="J53" s="5" t="s">
        <v>29</v>
      </c>
      <c r="K53" s="5" t="s">
        <v>48</v>
      </c>
      <c r="L53" s="5" t="s">
        <v>31</v>
      </c>
      <c r="M53" s="5" t="s">
        <v>32</v>
      </c>
      <c r="N53" s="5" t="s">
        <v>16</v>
      </c>
    </row>
    <row r="54" spans="1:14" ht="15.75" customHeight="1" x14ac:dyDescent="0.2">
      <c r="A54" s="5" t="s">
        <v>35</v>
      </c>
      <c r="B54" s="5">
        <v>0</v>
      </c>
      <c r="C54" s="5">
        <v>0</v>
      </c>
      <c r="D54" s="5" t="s">
        <v>99</v>
      </c>
      <c r="E54" s="5" t="s">
        <v>93</v>
      </c>
      <c r="F54" s="5" t="s">
        <v>88</v>
      </c>
      <c r="G54" s="5" t="s">
        <v>91</v>
      </c>
      <c r="H54" s="5" t="s">
        <v>60</v>
      </c>
      <c r="I54" s="5" t="s">
        <v>34</v>
      </c>
      <c r="J54" s="5" t="s">
        <v>29</v>
      </c>
      <c r="K54" s="5" t="s">
        <v>48</v>
      </c>
      <c r="L54" s="5" t="s">
        <v>31</v>
      </c>
      <c r="M54" s="5" t="s">
        <v>32</v>
      </c>
      <c r="N54" s="5" t="s">
        <v>16</v>
      </c>
    </row>
    <row r="55" spans="1:14" ht="15.75" customHeight="1" x14ac:dyDescent="0.2">
      <c r="A55" s="5" t="s">
        <v>36</v>
      </c>
      <c r="B55" s="5">
        <v>1</v>
      </c>
      <c r="C55" s="5">
        <v>75.75</v>
      </c>
      <c r="D55" s="5" t="s">
        <v>99</v>
      </c>
      <c r="E55" s="5" t="s">
        <v>93</v>
      </c>
      <c r="F55" s="5" t="s">
        <v>88</v>
      </c>
      <c r="G55" s="5" t="s">
        <v>90</v>
      </c>
      <c r="H55" s="5" t="s">
        <v>60</v>
      </c>
      <c r="I55" s="5" t="s">
        <v>36</v>
      </c>
      <c r="J55" s="5" t="s">
        <v>29</v>
      </c>
      <c r="K55" s="5" t="s">
        <v>48</v>
      </c>
      <c r="L55" s="5" t="s">
        <v>31</v>
      </c>
      <c r="M55" s="5" t="s">
        <v>32</v>
      </c>
      <c r="N55" s="5" t="s">
        <v>16</v>
      </c>
    </row>
    <row r="56" spans="1:14" ht="15.75" customHeight="1" x14ac:dyDescent="0.2">
      <c r="A56" s="5" t="s">
        <v>35</v>
      </c>
      <c r="B56" s="5">
        <v>1</v>
      </c>
      <c r="C56" s="5">
        <v>75.75</v>
      </c>
      <c r="D56" s="5" t="s">
        <v>99</v>
      </c>
      <c r="E56" s="5" t="s">
        <v>93</v>
      </c>
      <c r="F56" s="5" t="s">
        <v>88</v>
      </c>
      <c r="G56" s="5" t="s">
        <v>91</v>
      </c>
      <c r="H56" s="5" t="s">
        <v>60</v>
      </c>
      <c r="I56" s="5" t="s">
        <v>36</v>
      </c>
      <c r="J56" s="5" t="s">
        <v>29</v>
      </c>
      <c r="K56" s="5" t="s">
        <v>48</v>
      </c>
      <c r="L56" s="5" t="s">
        <v>31</v>
      </c>
      <c r="M56" s="5" t="s">
        <v>32</v>
      </c>
      <c r="N56" s="5" t="s">
        <v>16</v>
      </c>
    </row>
    <row r="57" spans="1:14" ht="15.75" customHeight="1" x14ac:dyDescent="0.2">
      <c r="A57" s="5" t="s">
        <v>37</v>
      </c>
      <c r="B57" s="5">
        <v>0</v>
      </c>
      <c r="C57" s="5">
        <v>0</v>
      </c>
      <c r="D57" s="5" t="s">
        <v>99</v>
      </c>
      <c r="E57" s="5" t="s">
        <v>93</v>
      </c>
      <c r="F57" s="5" t="s">
        <v>88</v>
      </c>
      <c r="G57" s="5" t="s">
        <v>90</v>
      </c>
      <c r="H57" s="5" t="s">
        <v>60</v>
      </c>
      <c r="I57" s="5" t="s">
        <v>37</v>
      </c>
      <c r="J57" s="5" t="s">
        <v>29</v>
      </c>
      <c r="K57" s="5" t="s">
        <v>48</v>
      </c>
      <c r="L57" s="5" t="s">
        <v>31</v>
      </c>
      <c r="M57" s="5" t="s">
        <v>32</v>
      </c>
      <c r="N57" s="5" t="s">
        <v>16</v>
      </c>
    </row>
    <row r="58" spans="1:14" ht="15.75" customHeight="1" x14ac:dyDescent="0.2">
      <c r="A58" s="5" t="s">
        <v>35</v>
      </c>
      <c r="B58" s="5">
        <v>0</v>
      </c>
      <c r="C58" s="5">
        <v>0</v>
      </c>
      <c r="D58" s="5" t="s">
        <v>99</v>
      </c>
      <c r="E58" s="5" t="s">
        <v>93</v>
      </c>
      <c r="F58" s="5" t="s">
        <v>88</v>
      </c>
      <c r="G58" s="5" t="s">
        <v>91</v>
      </c>
      <c r="H58" s="5" t="s">
        <v>60</v>
      </c>
      <c r="I58" s="5" t="s">
        <v>37</v>
      </c>
      <c r="J58" s="5" t="s">
        <v>29</v>
      </c>
      <c r="K58" s="5" t="s">
        <v>48</v>
      </c>
      <c r="L58" s="5" t="s">
        <v>31</v>
      </c>
      <c r="M58" s="5" t="s">
        <v>32</v>
      </c>
      <c r="N58" s="5" t="s">
        <v>16</v>
      </c>
    </row>
    <row r="59" spans="1:14" ht="15.75" customHeight="1" x14ac:dyDescent="0.2">
      <c r="A59" s="5" t="s">
        <v>38</v>
      </c>
      <c r="B59" s="5">
        <v>0</v>
      </c>
      <c r="C59" s="5">
        <v>0</v>
      </c>
      <c r="D59" s="5" t="s">
        <v>99</v>
      </c>
      <c r="E59" s="5" t="s">
        <v>93</v>
      </c>
      <c r="F59" s="5" t="s">
        <v>88</v>
      </c>
      <c r="G59" s="5" t="s">
        <v>90</v>
      </c>
      <c r="H59" s="5" t="s">
        <v>60</v>
      </c>
      <c r="I59" s="5" t="s">
        <v>38</v>
      </c>
      <c r="J59" s="5" t="s">
        <v>29</v>
      </c>
      <c r="K59" s="5" t="s">
        <v>48</v>
      </c>
      <c r="L59" s="5" t="s">
        <v>31</v>
      </c>
      <c r="M59" s="5" t="s">
        <v>32</v>
      </c>
      <c r="N59" s="5" t="s">
        <v>16</v>
      </c>
    </row>
    <row r="60" spans="1:14" ht="15.75" customHeight="1" x14ac:dyDescent="0.2">
      <c r="A60" s="5" t="s">
        <v>35</v>
      </c>
      <c r="B60" s="5">
        <v>0</v>
      </c>
      <c r="C60" s="5">
        <v>0</v>
      </c>
      <c r="D60" s="5" t="s">
        <v>99</v>
      </c>
      <c r="E60" s="5" t="s">
        <v>93</v>
      </c>
      <c r="F60" s="5" t="s">
        <v>88</v>
      </c>
      <c r="G60" s="5" t="s">
        <v>91</v>
      </c>
      <c r="H60" s="5" t="s">
        <v>60</v>
      </c>
      <c r="I60" s="5" t="s">
        <v>38</v>
      </c>
      <c r="J60" s="5" t="s">
        <v>29</v>
      </c>
      <c r="K60" s="5" t="s">
        <v>48</v>
      </c>
      <c r="L60" s="5" t="s">
        <v>31</v>
      </c>
      <c r="M60" s="5" t="s">
        <v>32</v>
      </c>
      <c r="N60" s="5" t="s">
        <v>16</v>
      </c>
    </row>
    <row r="61" spans="1:14" ht="15.75" customHeight="1" x14ac:dyDescent="0.2">
      <c r="A61" s="5" t="s">
        <v>39</v>
      </c>
      <c r="B61" s="5">
        <v>0</v>
      </c>
      <c r="C61" s="5">
        <v>0</v>
      </c>
      <c r="D61" s="5" t="s">
        <v>99</v>
      </c>
      <c r="E61" s="5" t="s">
        <v>93</v>
      </c>
      <c r="F61" s="5" t="s">
        <v>88</v>
      </c>
      <c r="G61" s="5" t="s">
        <v>90</v>
      </c>
      <c r="H61" s="5" t="s">
        <v>60</v>
      </c>
      <c r="I61" s="5" t="s">
        <v>39</v>
      </c>
      <c r="J61" s="5" t="s">
        <v>29</v>
      </c>
      <c r="K61" s="5" t="s">
        <v>48</v>
      </c>
      <c r="L61" s="5" t="s">
        <v>31</v>
      </c>
      <c r="M61" s="5" t="s">
        <v>32</v>
      </c>
      <c r="N61" s="5" t="s">
        <v>16</v>
      </c>
    </row>
    <row r="62" spans="1:14" ht="15.75" customHeight="1" x14ac:dyDescent="0.2">
      <c r="A62" s="5" t="s">
        <v>35</v>
      </c>
      <c r="B62" s="5">
        <v>0</v>
      </c>
      <c r="C62" s="5">
        <v>0</v>
      </c>
      <c r="D62" s="5" t="s">
        <v>99</v>
      </c>
      <c r="E62" s="5" t="s">
        <v>93</v>
      </c>
      <c r="F62" s="5" t="s">
        <v>88</v>
      </c>
      <c r="G62" s="5" t="s">
        <v>91</v>
      </c>
      <c r="H62" s="5" t="s">
        <v>60</v>
      </c>
      <c r="I62" s="5" t="s">
        <v>39</v>
      </c>
      <c r="J62" s="5" t="s">
        <v>29</v>
      </c>
      <c r="K62" s="5" t="s">
        <v>48</v>
      </c>
      <c r="L62" s="5" t="s">
        <v>31</v>
      </c>
      <c r="M62" s="5" t="s">
        <v>32</v>
      </c>
      <c r="N62" s="5" t="s">
        <v>16</v>
      </c>
    </row>
    <row r="63" spans="1:14" ht="15.75" customHeight="1" x14ac:dyDescent="0.2">
      <c r="A63" s="5" t="s">
        <v>40</v>
      </c>
      <c r="B63" s="5">
        <v>0</v>
      </c>
      <c r="C63" s="5">
        <v>0</v>
      </c>
      <c r="D63" s="5" t="s">
        <v>99</v>
      </c>
      <c r="E63" s="5" t="s">
        <v>93</v>
      </c>
      <c r="F63" s="5" t="s">
        <v>88</v>
      </c>
      <c r="G63" s="5" t="s">
        <v>90</v>
      </c>
      <c r="H63" s="5" t="s">
        <v>60</v>
      </c>
      <c r="I63" s="5" t="s">
        <v>40</v>
      </c>
      <c r="J63" s="5" t="s">
        <v>29</v>
      </c>
      <c r="K63" s="5" t="s">
        <v>48</v>
      </c>
      <c r="L63" s="5" t="s">
        <v>31</v>
      </c>
      <c r="M63" s="5" t="s">
        <v>32</v>
      </c>
      <c r="N63" s="5" t="s">
        <v>16</v>
      </c>
    </row>
    <row r="64" spans="1:14" ht="15.75" customHeight="1" x14ac:dyDescent="0.2">
      <c r="A64" s="5" t="s">
        <v>35</v>
      </c>
      <c r="B64" s="5">
        <v>0</v>
      </c>
      <c r="C64" s="5">
        <v>0</v>
      </c>
      <c r="D64" s="5" t="s">
        <v>99</v>
      </c>
      <c r="E64" s="5" t="s">
        <v>93</v>
      </c>
      <c r="F64" s="5" t="s">
        <v>88</v>
      </c>
      <c r="G64" s="5" t="s">
        <v>91</v>
      </c>
      <c r="H64" s="5" t="s">
        <v>60</v>
      </c>
      <c r="I64" s="5" t="s">
        <v>40</v>
      </c>
      <c r="J64" s="5" t="s">
        <v>29</v>
      </c>
      <c r="K64" s="5" t="s">
        <v>48</v>
      </c>
      <c r="L64" s="5" t="s">
        <v>31</v>
      </c>
      <c r="M64" s="5" t="s">
        <v>32</v>
      </c>
      <c r="N64" s="5" t="s">
        <v>16</v>
      </c>
    </row>
    <row r="65" spans="1:14" ht="15.75" customHeight="1" x14ac:dyDescent="0.2">
      <c r="A65" s="5" t="s">
        <v>41</v>
      </c>
      <c r="B65" s="5">
        <v>0</v>
      </c>
      <c r="C65" s="5">
        <v>0</v>
      </c>
      <c r="D65" s="5" t="s">
        <v>99</v>
      </c>
      <c r="E65" s="5" t="s">
        <v>93</v>
      </c>
      <c r="F65" s="5" t="s">
        <v>88</v>
      </c>
      <c r="G65" s="5" t="s">
        <v>90</v>
      </c>
      <c r="H65" s="5" t="s">
        <v>60</v>
      </c>
      <c r="I65" s="5" t="s">
        <v>41</v>
      </c>
      <c r="J65" s="5" t="s">
        <v>29</v>
      </c>
      <c r="K65" s="5" t="s">
        <v>48</v>
      </c>
      <c r="L65" s="5" t="s">
        <v>31</v>
      </c>
      <c r="M65" s="5" t="s">
        <v>32</v>
      </c>
      <c r="N65" s="5" t="s">
        <v>16</v>
      </c>
    </row>
    <row r="66" spans="1:14" ht="15.75" customHeight="1" x14ac:dyDescent="0.2">
      <c r="A66" s="5" t="s">
        <v>35</v>
      </c>
      <c r="B66" s="5">
        <v>0</v>
      </c>
      <c r="C66" s="5">
        <v>0</v>
      </c>
      <c r="D66" s="5" t="s">
        <v>99</v>
      </c>
      <c r="E66" s="5" t="s">
        <v>93</v>
      </c>
      <c r="F66" s="5" t="s">
        <v>88</v>
      </c>
      <c r="G66" s="5" t="s">
        <v>91</v>
      </c>
      <c r="H66" s="5" t="s">
        <v>60</v>
      </c>
      <c r="I66" s="5" t="s">
        <v>41</v>
      </c>
      <c r="J66" s="5" t="s">
        <v>29</v>
      </c>
      <c r="K66" s="5" t="s">
        <v>48</v>
      </c>
      <c r="L66" s="5" t="s">
        <v>31</v>
      </c>
      <c r="M66" s="5" t="s">
        <v>32</v>
      </c>
      <c r="N66" s="5" t="s">
        <v>16</v>
      </c>
    </row>
    <row r="67" spans="1:14" ht="15.75" customHeight="1" x14ac:dyDescent="0.2">
      <c r="A67" s="5" t="s">
        <v>42</v>
      </c>
      <c r="B67" s="5">
        <v>0</v>
      </c>
      <c r="C67" s="5">
        <v>0</v>
      </c>
      <c r="D67" s="5" t="s">
        <v>99</v>
      </c>
      <c r="E67" s="5" t="s">
        <v>93</v>
      </c>
      <c r="F67" s="5" t="s">
        <v>88</v>
      </c>
      <c r="G67" s="5" t="s">
        <v>90</v>
      </c>
      <c r="H67" s="5" t="s">
        <v>60</v>
      </c>
      <c r="I67" s="5" t="s">
        <v>42</v>
      </c>
      <c r="J67" s="5" t="s">
        <v>29</v>
      </c>
      <c r="K67" s="5" t="s">
        <v>48</v>
      </c>
      <c r="L67" s="5" t="s">
        <v>31</v>
      </c>
      <c r="M67" s="5" t="s">
        <v>32</v>
      </c>
      <c r="N67" s="5" t="s">
        <v>16</v>
      </c>
    </row>
    <row r="68" spans="1:14" ht="15.75" customHeight="1" x14ac:dyDescent="0.2">
      <c r="A68" s="5" t="s">
        <v>35</v>
      </c>
      <c r="B68" s="5">
        <v>0</v>
      </c>
      <c r="C68" s="5">
        <v>0</v>
      </c>
      <c r="D68" s="5" t="s">
        <v>99</v>
      </c>
      <c r="E68" s="5" t="s">
        <v>93</v>
      </c>
      <c r="F68" s="5" t="s">
        <v>88</v>
      </c>
      <c r="G68" s="5" t="s">
        <v>91</v>
      </c>
      <c r="H68" s="5" t="s">
        <v>60</v>
      </c>
      <c r="I68" s="5" t="s">
        <v>42</v>
      </c>
      <c r="J68" s="5" t="s">
        <v>29</v>
      </c>
      <c r="K68" s="5" t="s">
        <v>48</v>
      </c>
      <c r="L68" s="5" t="s">
        <v>31</v>
      </c>
      <c r="M68" s="5" t="s">
        <v>32</v>
      </c>
      <c r="N68" s="5" t="s">
        <v>16</v>
      </c>
    </row>
    <row r="69" spans="1:14" ht="15.75" customHeight="1" x14ac:dyDescent="0.2">
      <c r="A69" s="5" t="s">
        <v>43</v>
      </c>
      <c r="B69" s="5">
        <v>0</v>
      </c>
      <c r="C69" s="5">
        <v>0</v>
      </c>
      <c r="D69" s="5" t="s">
        <v>99</v>
      </c>
      <c r="E69" s="5" t="s">
        <v>93</v>
      </c>
      <c r="F69" s="5" t="s">
        <v>88</v>
      </c>
      <c r="G69" s="5" t="s">
        <v>90</v>
      </c>
      <c r="H69" s="5" t="s">
        <v>60</v>
      </c>
      <c r="I69" s="5" t="s">
        <v>43</v>
      </c>
      <c r="J69" s="5" t="s">
        <v>29</v>
      </c>
      <c r="K69" s="5" t="s">
        <v>48</v>
      </c>
      <c r="L69" s="5" t="s">
        <v>31</v>
      </c>
      <c r="M69" s="5" t="s">
        <v>32</v>
      </c>
      <c r="N69" s="5" t="s">
        <v>16</v>
      </c>
    </row>
    <row r="70" spans="1:14" ht="15.75" customHeight="1" x14ac:dyDescent="0.2">
      <c r="A70" s="5" t="s">
        <v>35</v>
      </c>
      <c r="B70" s="5">
        <v>0</v>
      </c>
      <c r="C70" s="5">
        <v>0</v>
      </c>
      <c r="D70" s="5" t="s">
        <v>99</v>
      </c>
      <c r="E70" s="5" t="s">
        <v>93</v>
      </c>
      <c r="F70" s="5" t="s">
        <v>88</v>
      </c>
      <c r="G70" s="5" t="s">
        <v>91</v>
      </c>
      <c r="H70" s="5" t="s">
        <v>60</v>
      </c>
      <c r="I70" s="5" t="s">
        <v>43</v>
      </c>
      <c r="J70" s="5" t="s">
        <v>29</v>
      </c>
      <c r="K70" s="5" t="s">
        <v>48</v>
      </c>
      <c r="L70" s="5" t="s">
        <v>31</v>
      </c>
      <c r="M70" s="5" t="s">
        <v>32</v>
      </c>
      <c r="N70" s="5" t="s">
        <v>16</v>
      </c>
    </row>
    <row r="71" spans="1:14" ht="15.75" customHeight="1" x14ac:dyDescent="0.2">
      <c r="A71" s="5" t="s">
        <v>44</v>
      </c>
      <c r="B71" s="5">
        <v>0</v>
      </c>
      <c r="C71" s="5">
        <v>0</v>
      </c>
      <c r="D71" s="5" t="s">
        <v>99</v>
      </c>
      <c r="E71" s="5" t="s">
        <v>93</v>
      </c>
      <c r="F71" s="5" t="s">
        <v>88</v>
      </c>
      <c r="G71" s="5" t="s">
        <v>90</v>
      </c>
      <c r="H71" s="5" t="s">
        <v>60</v>
      </c>
      <c r="I71" s="5" t="s">
        <v>44</v>
      </c>
      <c r="J71" s="5" t="s">
        <v>29</v>
      </c>
      <c r="K71" s="5" t="s">
        <v>48</v>
      </c>
      <c r="L71" s="5" t="s">
        <v>31</v>
      </c>
      <c r="M71" s="5" t="s">
        <v>32</v>
      </c>
      <c r="N71" s="5" t="s">
        <v>16</v>
      </c>
    </row>
    <row r="72" spans="1:14" ht="15.75" customHeight="1" x14ac:dyDescent="0.2">
      <c r="A72" s="5" t="s">
        <v>35</v>
      </c>
      <c r="B72" s="5">
        <v>0</v>
      </c>
      <c r="C72" s="5">
        <v>0</v>
      </c>
      <c r="D72" s="5" t="s">
        <v>99</v>
      </c>
      <c r="E72" s="5" t="s">
        <v>93</v>
      </c>
      <c r="F72" s="5" t="s">
        <v>88</v>
      </c>
      <c r="G72" s="5" t="s">
        <v>91</v>
      </c>
      <c r="H72" s="5" t="s">
        <v>60</v>
      </c>
      <c r="I72" s="5" t="s">
        <v>44</v>
      </c>
      <c r="J72" s="5" t="s">
        <v>29</v>
      </c>
      <c r="K72" s="5" t="s">
        <v>48</v>
      </c>
      <c r="L72" s="5" t="s">
        <v>31</v>
      </c>
      <c r="M72" s="5" t="s">
        <v>32</v>
      </c>
      <c r="N72" s="5" t="s">
        <v>16</v>
      </c>
    </row>
    <row r="73" spans="1:14" ht="15.75" customHeight="1" x14ac:dyDescent="0.2">
      <c r="A73" s="5" t="s">
        <v>45</v>
      </c>
      <c r="B73" s="5">
        <v>0</v>
      </c>
      <c r="C73" s="5">
        <v>0</v>
      </c>
      <c r="D73" s="5" t="s">
        <v>99</v>
      </c>
      <c r="E73" s="5" t="s">
        <v>93</v>
      </c>
      <c r="F73" s="5" t="s">
        <v>88</v>
      </c>
      <c r="G73" s="5" t="s">
        <v>90</v>
      </c>
      <c r="H73" s="5" t="s">
        <v>60</v>
      </c>
      <c r="I73" s="5" t="s">
        <v>45</v>
      </c>
      <c r="J73" s="5" t="s">
        <v>29</v>
      </c>
      <c r="K73" s="5" t="s">
        <v>48</v>
      </c>
      <c r="L73" s="5" t="s">
        <v>31</v>
      </c>
      <c r="M73" s="5" t="s">
        <v>32</v>
      </c>
      <c r="N73" s="5" t="s">
        <v>16</v>
      </c>
    </row>
    <row r="74" spans="1:14" ht="15.75" customHeight="1" x14ac:dyDescent="0.2">
      <c r="A74" s="5" t="s">
        <v>35</v>
      </c>
      <c r="B74" s="5">
        <v>0</v>
      </c>
      <c r="C74" s="5">
        <v>0</v>
      </c>
      <c r="D74" s="5" t="s">
        <v>99</v>
      </c>
      <c r="E74" s="5" t="s">
        <v>93</v>
      </c>
      <c r="F74" s="5" t="s">
        <v>88</v>
      </c>
      <c r="G74" s="5" t="s">
        <v>91</v>
      </c>
      <c r="H74" s="5" t="s">
        <v>60</v>
      </c>
      <c r="I74" s="5" t="s">
        <v>45</v>
      </c>
      <c r="J74" s="5" t="s">
        <v>29</v>
      </c>
      <c r="K74" s="5" t="s">
        <v>48</v>
      </c>
      <c r="L74" s="5" t="s">
        <v>31</v>
      </c>
      <c r="M74" s="5" t="s">
        <v>32</v>
      </c>
      <c r="N74" s="5" t="s">
        <v>16</v>
      </c>
    </row>
    <row r="75" spans="1:14" ht="15.75" customHeight="1" x14ac:dyDescent="0.2">
      <c r="A75" s="5" t="s">
        <v>46</v>
      </c>
      <c r="B75" s="5">
        <v>0</v>
      </c>
      <c r="C75" s="5">
        <v>0</v>
      </c>
      <c r="D75" s="5" t="s">
        <v>99</v>
      </c>
      <c r="E75" s="5" t="s">
        <v>93</v>
      </c>
      <c r="F75" s="5" t="s">
        <v>88</v>
      </c>
      <c r="G75" s="5" t="s">
        <v>90</v>
      </c>
      <c r="H75" s="5" t="s">
        <v>60</v>
      </c>
      <c r="I75" s="5" t="s">
        <v>46</v>
      </c>
      <c r="J75" s="5" t="s">
        <v>29</v>
      </c>
      <c r="K75" s="5" t="s">
        <v>48</v>
      </c>
      <c r="L75" s="5" t="s">
        <v>31</v>
      </c>
      <c r="M75" s="5" t="s">
        <v>32</v>
      </c>
      <c r="N75" s="5" t="s">
        <v>16</v>
      </c>
    </row>
    <row r="76" spans="1:14" ht="15.75" customHeight="1" x14ac:dyDescent="0.2">
      <c r="A76" s="5" t="s">
        <v>35</v>
      </c>
      <c r="B76" s="5">
        <v>0</v>
      </c>
      <c r="C76" s="5">
        <v>0</v>
      </c>
      <c r="D76" s="5" t="s">
        <v>99</v>
      </c>
      <c r="E76" s="5" t="s">
        <v>93</v>
      </c>
      <c r="F76" s="5" t="s">
        <v>88</v>
      </c>
      <c r="G76" s="5" t="s">
        <v>91</v>
      </c>
      <c r="H76" s="5" t="s">
        <v>60</v>
      </c>
      <c r="I76" s="5" t="s">
        <v>46</v>
      </c>
      <c r="J76" s="5" t="s">
        <v>29</v>
      </c>
      <c r="K76" s="5" t="s">
        <v>48</v>
      </c>
      <c r="L76" s="5" t="s">
        <v>31</v>
      </c>
      <c r="M76" s="5" t="s">
        <v>32</v>
      </c>
      <c r="N76" s="5" t="s">
        <v>16</v>
      </c>
    </row>
    <row r="77" spans="1:14" ht="15.75" customHeight="1" x14ac:dyDescent="0.2">
      <c r="A77" s="5" t="s">
        <v>87</v>
      </c>
      <c r="B77" s="5">
        <v>0</v>
      </c>
      <c r="C77" s="5">
        <v>0</v>
      </c>
      <c r="D77" s="5" t="s">
        <v>100</v>
      </c>
      <c r="E77" s="5" t="s">
        <v>93</v>
      </c>
      <c r="F77" s="5" t="s">
        <v>88</v>
      </c>
      <c r="G77" s="5" t="s">
        <v>89</v>
      </c>
      <c r="H77" s="5" t="s">
        <v>61</v>
      </c>
      <c r="I77" s="5" t="s">
        <v>87</v>
      </c>
      <c r="J77" s="5" t="s">
        <v>29</v>
      </c>
      <c r="K77" s="5" t="s">
        <v>48</v>
      </c>
      <c r="L77" s="5" t="s">
        <v>31</v>
      </c>
      <c r="M77" s="5" t="s">
        <v>32</v>
      </c>
      <c r="N77" s="5" t="s">
        <v>16</v>
      </c>
    </row>
    <row r="78" spans="1:14" ht="15.75" customHeight="1" x14ac:dyDescent="0.2">
      <c r="A78" s="5" t="s">
        <v>34</v>
      </c>
      <c r="B78" s="5">
        <v>0</v>
      </c>
      <c r="C78" s="5">
        <v>0</v>
      </c>
      <c r="D78" s="5" t="s">
        <v>100</v>
      </c>
      <c r="E78" s="5" t="s">
        <v>93</v>
      </c>
      <c r="F78" s="5" t="s">
        <v>88</v>
      </c>
      <c r="G78" s="5" t="s">
        <v>90</v>
      </c>
      <c r="H78" s="5" t="s">
        <v>61</v>
      </c>
      <c r="I78" s="5" t="s">
        <v>34</v>
      </c>
      <c r="J78" s="5" t="s">
        <v>29</v>
      </c>
      <c r="K78" s="5" t="s">
        <v>48</v>
      </c>
      <c r="L78" s="5" t="s">
        <v>31</v>
      </c>
      <c r="M78" s="5" t="s">
        <v>32</v>
      </c>
      <c r="N78" s="5" t="s">
        <v>16</v>
      </c>
    </row>
    <row r="79" spans="1:14" ht="15.75" customHeight="1" x14ac:dyDescent="0.2">
      <c r="A79" s="5" t="s">
        <v>35</v>
      </c>
      <c r="B79" s="5">
        <v>0</v>
      </c>
      <c r="C79" s="5">
        <v>0</v>
      </c>
      <c r="D79" s="5" t="s">
        <v>100</v>
      </c>
      <c r="E79" s="5" t="s">
        <v>93</v>
      </c>
      <c r="F79" s="5" t="s">
        <v>88</v>
      </c>
      <c r="G79" s="5" t="s">
        <v>91</v>
      </c>
      <c r="H79" s="5" t="s">
        <v>61</v>
      </c>
      <c r="I79" s="5" t="s">
        <v>34</v>
      </c>
      <c r="J79" s="5" t="s">
        <v>29</v>
      </c>
      <c r="K79" s="5" t="s">
        <v>48</v>
      </c>
      <c r="L79" s="5" t="s">
        <v>31</v>
      </c>
      <c r="M79" s="5" t="s">
        <v>32</v>
      </c>
      <c r="N79" s="5" t="s">
        <v>16</v>
      </c>
    </row>
    <row r="80" spans="1:14" ht="15.75" customHeight="1" x14ac:dyDescent="0.2">
      <c r="A80" s="5" t="s">
        <v>36</v>
      </c>
      <c r="B80" s="5">
        <v>0</v>
      </c>
      <c r="C80" s="5">
        <v>0</v>
      </c>
      <c r="D80" s="5" t="s">
        <v>100</v>
      </c>
      <c r="E80" s="5" t="s">
        <v>93</v>
      </c>
      <c r="F80" s="5" t="s">
        <v>88</v>
      </c>
      <c r="G80" s="5" t="s">
        <v>90</v>
      </c>
      <c r="H80" s="5" t="s">
        <v>61</v>
      </c>
      <c r="I80" s="5" t="s">
        <v>36</v>
      </c>
      <c r="J80" s="5" t="s">
        <v>29</v>
      </c>
      <c r="K80" s="5" t="s">
        <v>48</v>
      </c>
      <c r="L80" s="5" t="s">
        <v>31</v>
      </c>
      <c r="M80" s="5" t="s">
        <v>32</v>
      </c>
      <c r="N80" s="5" t="s">
        <v>16</v>
      </c>
    </row>
    <row r="81" spans="1:14" ht="15.75" customHeight="1" x14ac:dyDescent="0.2">
      <c r="A81" s="5" t="s">
        <v>35</v>
      </c>
      <c r="B81" s="5">
        <v>0</v>
      </c>
      <c r="C81" s="5">
        <v>0</v>
      </c>
      <c r="D81" s="5" t="s">
        <v>100</v>
      </c>
      <c r="E81" s="5" t="s">
        <v>93</v>
      </c>
      <c r="F81" s="5" t="s">
        <v>88</v>
      </c>
      <c r="G81" s="5" t="s">
        <v>91</v>
      </c>
      <c r="H81" s="5" t="s">
        <v>61</v>
      </c>
      <c r="I81" s="5" t="s">
        <v>36</v>
      </c>
      <c r="J81" s="5" t="s">
        <v>29</v>
      </c>
      <c r="K81" s="5" t="s">
        <v>48</v>
      </c>
      <c r="L81" s="5" t="s">
        <v>31</v>
      </c>
      <c r="M81" s="5" t="s">
        <v>32</v>
      </c>
      <c r="N81" s="5" t="s">
        <v>16</v>
      </c>
    </row>
    <row r="82" spans="1:14" ht="15.75" customHeight="1" x14ac:dyDescent="0.2">
      <c r="A82" s="5" t="s">
        <v>37</v>
      </c>
      <c r="B82" s="5">
        <v>0</v>
      </c>
      <c r="C82" s="5">
        <v>0</v>
      </c>
      <c r="D82" s="5" t="s">
        <v>100</v>
      </c>
      <c r="E82" s="5" t="s">
        <v>93</v>
      </c>
      <c r="F82" s="5" t="s">
        <v>88</v>
      </c>
      <c r="G82" s="5" t="s">
        <v>90</v>
      </c>
      <c r="H82" s="5" t="s">
        <v>61</v>
      </c>
      <c r="I82" s="5" t="s">
        <v>37</v>
      </c>
      <c r="J82" s="5" t="s">
        <v>29</v>
      </c>
      <c r="K82" s="5" t="s">
        <v>48</v>
      </c>
      <c r="L82" s="5" t="s">
        <v>31</v>
      </c>
      <c r="M82" s="5" t="s">
        <v>32</v>
      </c>
      <c r="N82" s="5" t="s">
        <v>16</v>
      </c>
    </row>
    <row r="83" spans="1:14" ht="15.75" customHeight="1" x14ac:dyDescent="0.2">
      <c r="A83" s="5" t="s">
        <v>35</v>
      </c>
      <c r="B83" s="5">
        <v>0</v>
      </c>
      <c r="C83" s="5">
        <v>0</v>
      </c>
      <c r="D83" s="5" t="s">
        <v>100</v>
      </c>
      <c r="E83" s="5" t="s">
        <v>93</v>
      </c>
      <c r="F83" s="5" t="s">
        <v>88</v>
      </c>
      <c r="G83" s="5" t="s">
        <v>91</v>
      </c>
      <c r="H83" s="5" t="s">
        <v>61</v>
      </c>
      <c r="I83" s="5" t="s">
        <v>37</v>
      </c>
      <c r="J83" s="5" t="s">
        <v>29</v>
      </c>
      <c r="K83" s="5" t="s">
        <v>48</v>
      </c>
      <c r="L83" s="5" t="s">
        <v>31</v>
      </c>
      <c r="M83" s="5" t="s">
        <v>32</v>
      </c>
      <c r="N83" s="5" t="s">
        <v>16</v>
      </c>
    </row>
    <row r="84" spans="1:14" ht="15.75" customHeight="1" x14ac:dyDescent="0.2">
      <c r="A84" s="5" t="s">
        <v>38</v>
      </c>
      <c r="B84" s="5">
        <v>0</v>
      </c>
      <c r="C84" s="5">
        <v>0</v>
      </c>
      <c r="D84" s="5" t="s">
        <v>100</v>
      </c>
      <c r="E84" s="5" t="s">
        <v>93</v>
      </c>
      <c r="F84" s="5" t="s">
        <v>88</v>
      </c>
      <c r="G84" s="5" t="s">
        <v>90</v>
      </c>
      <c r="H84" s="5" t="s">
        <v>61</v>
      </c>
      <c r="I84" s="5" t="s">
        <v>38</v>
      </c>
      <c r="J84" s="5" t="s">
        <v>29</v>
      </c>
      <c r="K84" s="5" t="s">
        <v>48</v>
      </c>
      <c r="L84" s="5" t="s">
        <v>31</v>
      </c>
      <c r="M84" s="5" t="s">
        <v>32</v>
      </c>
      <c r="N84" s="5" t="s">
        <v>16</v>
      </c>
    </row>
    <row r="85" spans="1:14" ht="15.75" customHeight="1" x14ac:dyDescent="0.2">
      <c r="A85" s="5" t="s">
        <v>35</v>
      </c>
      <c r="B85" s="5">
        <v>0</v>
      </c>
      <c r="C85" s="5">
        <v>0</v>
      </c>
      <c r="D85" s="5" t="s">
        <v>100</v>
      </c>
      <c r="E85" s="5" t="s">
        <v>93</v>
      </c>
      <c r="F85" s="5" t="s">
        <v>88</v>
      </c>
      <c r="G85" s="5" t="s">
        <v>91</v>
      </c>
      <c r="H85" s="5" t="s">
        <v>61</v>
      </c>
      <c r="I85" s="5" t="s">
        <v>38</v>
      </c>
      <c r="J85" s="5" t="s">
        <v>29</v>
      </c>
      <c r="K85" s="5" t="s">
        <v>48</v>
      </c>
      <c r="L85" s="5" t="s">
        <v>31</v>
      </c>
      <c r="M85" s="5" t="s">
        <v>32</v>
      </c>
      <c r="N85" s="5" t="s">
        <v>16</v>
      </c>
    </row>
    <row r="86" spans="1:14" ht="15.75" customHeight="1" x14ac:dyDescent="0.2">
      <c r="A86" s="5" t="s">
        <v>39</v>
      </c>
      <c r="B86" s="5">
        <v>0</v>
      </c>
      <c r="C86" s="5">
        <v>0</v>
      </c>
      <c r="D86" s="5" t="s">
        <v>100</v>
      </c>
      <c r="E86" s="5" t="s">
        <v>93</v>
      </c>
      <c r="F86" s="5" t="s">
        <v>88</v>
      </c>
      <c r="G86" s="5" t="s">
        <v>90</v>
      </c>
      <c r="H86" s="5" t="s">
        <v>61</v>
      </c>
      <c r="I86" s="5" t="s">
        <v>39</v>
      </c>
      <c r="J86" s="5" t="s">
        <v>29</v>
      </c>
      <c r="K86" s="5" t="s">
        <v>48</v>
      </c>
      <c r="L86" s="5" t="s">
        <v>31</v>
      </c>
      <c r="M86" s="5" t="s">
        <v>32</v>
      </c>
      <c r="N86" s="5" t="s">
        <v>16</v>
      </c>
    </row>
    <row r="87" spans="1:14" ht="15.75" customHeight="1" x14ac:dyDescent="0.2">
      <c r="A87" s="5" t="s">
        <v>35</v>
      </c>
      <c r="B87" s="5">
        <v>0</v>
      </c>
      <c r="C87" s="5">
        <v>0</v>
      </c>
      <c r="D87" s="5" t="s">
        <v>100</v>
      </c>
      <c r="E87" s="5" t="s">
        <v>93</v>
      </c>
      <c r="F87" s="5" t="s">
        <v>88</v>
      </c>
      <c r="G87" s="5" t="s">
        <v>91</v>
      </c>
      <c r="H87" s="5" t="s">
        <v>61</v>
      </c>
      <c r="I87" s="5" t="s">
        <v>39</v>
      </c>
      <c r="J87" s="5" t="s">
        <v>29</v>
      </c>
      <c r="K87" s="5" t="s">
        <v>48</v>
      </c>
      <c r="L87" s="5" t="s">
        <v>31</v>
      </c>
      <c r="M87" s="5" t="s">
        <v>32</v>
      </c>
      <c r="N87" s="5" t="s">
        <v>16</v>
      </c>
    </row>
    <row r="88" spans="1:14" ht="15.75" customHeight="1" x14ac:dyDescent="0.2">
      <c r="A88" s="5" t="s">
        <v>40</v>
      </c>
      <c r="B88" s="5">
        <v>0</v>
      </c>
      <c r="C88" s="5">
        <v>0</v>
      </c>
      <c r="D88" s="5" t="s">
        <v>100</v>
      </c>
      <c r="E88" s="5" t="s">
        <v>93</v>
      </c>
      <c r="F88" s="5" t="s">
        <v>88</v>
      </c>
      <c r="G88" s="5" t="s">
        <v>90</v>
      </c>
      <c r="H88" s="5" t="s">
        <v>61</v>
      </c>
      <c r="I88" s="5" t="s">
        <v>40</v>
      </c>
      <c r="J88" s="5" t="s">
        <v>29</v>
      </c>
      <c r="K88" s="5" t="s">
        <v>48</v>
      </c>
      <c r="L88" s="5" t="s">
        <v>31</v>
      </c>
      <c r="M88" s="5" t="s">
        <v>32</v>
      </c>
      <c r="N88" s="5" t="s">
        <v>16</v>
      </c>
    </row>
    <row r="89" spans="1:14" ht="15.75" customHeight="1" x14ac:dyDescent="0.2">
      <c r="A89" s="5" t="s">
        <v>35</v>
      </c>
      <c r="B89" s="5">
        <v>0</v>
      </c>
      <c r="C89" s="5">
        <v>0</v>
      </c>
      <c r="D89" s="5" t="s">
        <v>100</v>
      </c>
      <c r="E89" s="5" t="s">
        <v>93</v>
      </c>
      <c r="F89" s="5" t="s">
        <v>88</v>
      </c>
      <c r="G89" s="5" t="s">
        <v>91</v>
      </c>
      <c r="H89" s="5" t="s">
        <v>61</v>
      </c>
      <c r="I89" s="5" t="s">
        <v>40</v>
      </c>
      <c r="J89" s="5" t="s">
        <v>29</v>
      </c>
      <c r="K89" s="5" t="s">
        <v>48</v>
      </c>
      <c r="L89" s="5" t="s">
        <v>31</v>
      </c>
      <c r="M89" s="5" t="s">
        <v>32</v>
      </c>
      <c r="N89" s="5" t="s">
        <v>16</v>
      </c>
    </row>
    <row r="90" spans="1:14" ht="15.75" customHeight="1" x14ac:dyDescent="0.2">
      <c r="A90" s="5" t="s">
        <v>41</v>
      </c>
      <c r="B90" s="5">
        <v>0</v>
      </c>
      <c r="C90" s="5">
        <v>0</v>
      </c>
      <c r="D90" s="5" t="s">
        <v>100</v>
      </c>
      <c r="E90" s="5" t="s">
        <v>93</v>
      </c>
      <c r="F90" s="5" t="s">
        <v>88</v>
      </c>
      <c r="G90" s="5" t="s">
        <v>90</v>
      </c>
      <c r="H90" s="5" t="s">
        <v>61</v>
      </c>
      <c r="I90" s="5" t="s">
        <v>41</v>
      </c>
      <c r="J90" s="5" t="s">
        <v>29</v>
      </c>
      <c r="K90" s="5" t="s">
        <v>48</v>
      </c>
      <c r="L90" s="5" t="s">
        <v>31</v>
      </c>
      <c r="M90" s="5" t="s">
        <v>32</v>
      </c>
      <c r="N90" s="5" t="s">
        <v>16</v>
      </c>
    </row>
    <row r="91" spans="1:14" ht="15.75" customHeight="1" x14ac:dyDescent="0.2">
      <c r="A91" s="5" t="s">
        <v>35</v>
      </c>
      <c r="B91" s="5">
        <v>0</v>
      </c>
      <c r="C91" s="5">
        <v>0</v>
      </c>
      <c r="D91" s="5" t="s">
        <v>100</v>
      </c>
      <c r="E91" s="5" t="s">
        <v>93</v>
      </c>
      <c r="F91" s="5" t="s">
        <v>88</v>
      </c>
      <c r="G91" s="5" t="s">
        <v>91</v>
      </c>
      <c r="H91" s="5" t="s">
        <v>61</v>
      </c>
      <c r="I91" s="5" t="s">
        <v>41</v>
      </c>
      <c r="J91" s="5" t="s">
        <v>29</v>
      </c>
      <c r="K91" s="5" t="s">
        <v>48</v>
      </c>
      <c r="L91" s="5" t="s">
        <v>31</v>
      </c>
      <c r="M91" s="5" t="s">
        <v>32</v>
      </c>
      <c r="N91" s="5" t="s">
        <v>16</v>
      </c>
    </row>
    <row r="92" spans="1:14" ht="15.75" customHeight="1" x14ac:dyDescent="0.2">
      <c r="A92" s="5" t="s">
        <v>42</v>
      </c>
      <c r="B92" s="5">
        <v>0</v>
      </c>
      <c r="C92" s="5">
        <v>0</v>
      </c>
      <c r="D92" s="5" t="s">
        <v>100</v>
      </c>
      <c r="E92" s="5" t="s">
        <v>93</v>
      </c>
      <c r="F92" s="5" t="s">
        <v>88</v>
      </c>
      <c r="G92" s="5" t="s">
        <v>90</v>
      </c>
      <c r="H92" s="5" t="s">
        <v>61</v>
      </c>
      <c r="I92" s="5" t="s">
        <v>42</v>
      </c>
      <c r="J92" s="5" t="s">
        <v>29</v>
      </c>
      <c r="K92" s="5" t="s">
        <v>48</v>
      </c>
      <c r="L92" s="5" t="s">
        <v>31</v>
      </c>
      <c r="M92" s="5" t="s">
        <v>32</v>
      </c>
      <c r="N92" s="5" t="s">
        <v>16</v>
      </c>
    </row>
    <row r="93" spans="1:14" ht="15.75" customHeight="1" x14ac:dyDescent="0.2">
      <c r="A93" s="5" t="s">
        <v>35</v>
      </c>
      <c r="B93" s="5">
        <v>0</v>
      </c>
      <c r="C93" s="5">
        <v>0</v>
      </c>
      <c r="D93" s="5" t="s">
        <v>100</v>
      </c>
      <c r="E93" s="5" t="s">
        <v>93</v>
      </c>
      <c r="F93" s="5" t="s">
        <v>88</v>
      </c>
      <c r="G93" s="5" t="s">
        <v>91</v>
      </c>
      <c r="H93" s="5" t="s">
        <v>61</v>
      </c>
      <c r="I93" s="5" t="s">
        <v>42</v>
      </c>
      <c r="J93" s="5" t="s">
        <v>29</v>
      </c>
      <c r="K93" s="5" t="s">
        <v>48</v>
      </c>
      <c r="L93" s="5" t="s">
        <v>31</v>
      </c>
      <c r="M93" s="5" t="s">
        <v>32</v>
      </c>
      <c r="N93" s="5" t="s">
        <v>16</v>
      </c>
    </row>
    <row r="94" spans="1:14" ht="15.75" customHeight="1" x14ac:dyDescent="0.2">
      <c r="A94" s="5" t="s">
        <v>43</v>
      </c>
      <c r="B94" s="5">
        <v>0</v>
      </c>
      <c r="C94" s="5">
        <v>0</v>
      </c>
      <c r="D94" s="5" t="s">
        <v>100</v>
      </c>
      <c r="E94" s="5" t="s">
        <v>93</v>
      </c>
      <c r="F94" s="5" t="s">
        <v>88</v>
      </c>
      <c r="G94" s="5" t="s">
        <v>90</v>
      </c>
      <c r="H94" s="5" t="s">
        <v>61</v>
      </c>
      <c r="I94" s="5" t="s">
        <v>43</v>
      </c>
      <c r="J94" s="5" t="s">
        <v>29</v>
      </c>
      <c r="K94" s="5" t="s">
        <v>48</v>
      </c>
      <c r="L94" s="5" t="s">
        <v>31</v>
      </c>
      <c r="M94" s="5" t="s">
        <v>32</v>
      </c>
      <c r="N94" s="5" t="s">
        <v>16</v>
      </c>
    </row>
    <row r="95" spans="1:14" ht="15.75" customHeight="1" x14ac:dyDescent="0.2">
      <c r="A95" s="5" t="s">
        <v>35</v>
      </c>
      <c r="B95" s="5">
        <v>0</v>
      </c>
      <c r="C95" s="5">
        <v>0</v>
      </c>
      <c r="D95" s="5" t="s">
        <v>100</v>
      </c>
      <c r="E95" s="5" t="s">
        <v>93</v>
      </c>
      <c r="F95" s="5" t="s">
        <v>88</v>
      </c>
      <c r="G95" s="5" t="s">
        <v>91</v>
      </c>
      <c r="H95" s="5" t="s">
        <v>61</v>
      </c>
      <c r="I95" s="5" t="s">
        <v>43</v>
      </c>
      <c r="J95" s="5" t="s">
        <v>29</v>
      </c>
      <c r="K95" s="5" t="s">
        <v>48</v>
      </c>
      <c r="L95" s="5" t="s">
        <v>31</v>
      </c>
      <c r="M95" s="5" t="s">
        <v>32</v>
      </c>
      <c r="N95" s="5" t="s">
        <v>16</v>
      </c>
    </row>
    <row r="96" spans="1:14" ht="15.75" customHeight="1" x14ac:dyDescent="0.2">
      <c r="A96" s="5" t="s">
        <v>44</v>
      </c>
      <c r="B96" s="5">
        <v>0</v>
      </c>
      <c r="C96" s="5">
        <v>0</v>
      </c>
      <c r="D96" s="5" t="s">
        <v>100</v>
      </c>
      <c r="E96" s="5" t="s">
        <v>93</v>
      </c>
      <c r="F96" s="5" t="s">
        <v>88</v>
      </c>
      <c r="G96" s="5" t="s">
        <v>90</v>
      </c>
      <c r="H96" s="5" t="s">
        <v>61</v>
      </c>
      <c r="I96" s="5" t="s">
        <v>44</v>
      </c>
      <c r="J96" s="5" t="s">
        <v>29</v>
      </c>
      <c r="K96" s="5" t="s">
        <v>48</v>
      </c>
      <c r="L96" s="5" t="s">
        <v>31</v>
      </c>
      <c r="M96" s="5" t="s">
        <v>32</v>
      </c>
      <c r="N96" s="5" t="s">
        <v>16</v>
      </c>
    </row>
    <row r="97" spans="1:14" ht="15.75" customHeight="1" x14ac:dyDescent="0.2">
      <c r="A97" s="5" t="s">
        <v>35</v>
      </c>
      <c r="B97" s="5">
        <v>0</v>
      </c>
      <c r="C97" s="5">
        <v>0</v>
      </c>
      <c r="D97" s="5" t="s">
        <v>100</v>
      </c>
      <c r="E97" s="5" t="s">
        <v>93</v>
      </c>
      <c r="F97" s="5" t="s">
        <v>88</v>
      </c>
      <c r="G97" s="5" t="s">
        <v>91</v>
      </c>
      <c r="H97" s="5" t="s">
        <v>61</v>
      </c>
      <c r="I97" s="5" t="s">
        <v>44</v>
      </c>
      <c r="J97" s="5" t="s">
        <v>29</v>
      </c>
      <c r="K97" s="5" t="s">
        <v>48</v>
      </c>
      <c r="L97" s="5" t="s">
        <v>31</v>
      </c>
      <c r="M97" s="5" t="s">
        <v>32</v>
      </c>
      <c r="N97" s="5" t="s">
        <v>16</v>
      </c>
    </row>
    <row r="98" spans="1:14" ht="15.75" customHeight="1" x14ac:dyDescent="0.2">
      <c r="A98" s="5" t="s">
        <v>45</v>
      </c>
      <c r="B98" s="5">
        <v>0</v>
      </c>
      <c r="C98" s="5">
        <v>0</v>
      </c>
      <c r="D98" s="5" t="s">
        <v>100</v>
      </c>
      <c r="E98" s="5" t="s">
        <v>93</v>
      </c>
      <c r="F98" s="5" t="s">
        <v>88</v>
      </c>
      <c r="G98" s="5" t="s">
        <v>90</v>
      </c>
      <c r="H98" s="5" t="s">
        <v>61</v>
      </c>
      <c r="I98" s="5" t="s">
        <v>45</v>
      </c>
      <c r="J98" s="5" t="s">
        <v>29</v>
      </c>
      <c r="K98" s="5" t="s">
        <v>48</v>
      </c>
      <c r="L98" s="5" t="s">
        <v>31</v>
      </c>
      <c r="M98" s="5" t="s">
        <v>32</v>
      </c>
      <c r="N98" s="5" t="s">
        <v>16</v>
      </c>
    </row>
    <row r="99" spans="1:14" ht="15.75" customHeight="1" x14ac:dyDescent="0.2">
      <c r="A99" s="5" t="s">
        <v>35</v>
      </c>
      <c r="B99" s="5">
        <v>0</v>
      </c>
      <c r="C99" s="5">
        <v>0</v>
      </c>
      <c r="D99" s="5" t="s">
        <v>100</v>
      </c>
      <c r="E99" s="5" t="s">
        <v>93</v>
      </c>
      <c r="F99" s="5" t="s">
        <v>88</v>
      </c>
      <c r="G99" s="5" t="s">
        <v>91</v>
      </c>
      <c r="H99" s="5" t="s">
        <v>61</v>
      </c>
      <c r="I99" s="5" t="s">
        <v>45</v>
      </c>
      <c r="J99" s="5" t="s">
        <v>29</v>
      </c>
      <c r="K99" s="5" t="s">
        <v>48</v>
      </c>
      <c r="L99" s="5" t="s">
        <v>31</v>
      </c>
      <c r="M99" s="5" t="s">
        <v>32</v>
      </c>
      <c r="N99" s="5" t="s">
        <v>16</v>
      </c>
    </row>
    <row r="100" spans="1:14" ht="15.75" customHeight="1" x14ac:dyDescent="0.2">
      <c r="A100" s="5" t="s">
        <v>46</v>
      </c>
      <c r="B100" s="5">
        <v>0</v>
      </c>
      <c r="C100" s="5">
        <v>0</v>
      </c>
      <c r="D100" s="5" t="s">
        <v>100</v>
      </c>
      <c r="E100" s="5" t="s">
        <v>93</v>
      </c>
      <c r="F100" s="5" t="s">
        <v>88</v>
      </c>
      <c r="G100" s="5" t="s">
        <v>90</v>
      </c>
      <c r="H100" s="5" t="s">
        <v>61</v>
      </c>
      <c r="I100" s="5" t="s">
        <v>46</v>
      </c>
      <c r="J100" s="5" t="s">
        <v>29</v>
      </c>
      <c r="K100" s="5" t="s">
        <v>48</v>
      </c>
      <c r="L100" s="5" t="s">
        <v>31</v>
      </c>
      <c r="M100" s="5" t="s">
        <v>32</v>
      </c>
      <c r="N100" s="5" t="s">
        <v>16</v>
      </c>
    </row>
    <row r="101" spans="1:14" ht="15.75" customHeight="1" x14ac:dyDescent="0.2">
      <c r="A101" s="5" t="s">
        <v>35</v>
      </c>
      <c r="B101" s="5">
        <v>0</v>
      </c>
      <c r="C101" s="5">
        <v>0</v>
      </c>
      <c r="D101" s="5" t="s">
        <v>100</v>
      </c>
      <c r="E101" s="5" t="s">
        <v>93</v>
      </c>
      <c r="F101" s="5" t="s">
        <v>88</v>
      </c>
      <c r="G101" s="5" t="s">
        <v>91</v>
      </c>
      <c r="H101" s="5" t="s">
        <v>61</v>
      </c>
      <c r="I101" s="5" t="s">
        <v>46</v>
      </c>
      <c r="J101" s="5" t="s">
        <v>29</v>
      </c>
      <c r="K101" s="5" t="s">
        <v>48</v>
      </c>
      <c r="L101" s="5" t="s">
        <v>31</v>
      </c>
      <c r="M101" s="5" t="s">
        <v>32</v>
      </c>
      <c r="N101" s="5" t="s">
        <v>16</v>
      </c>
    </row>
    <row r="102" spans="1:14" ht="15.75" customHeight="1" x14ac:dyDescent="0.2">
      <c r="A102" s="5" t="s">
        <v>87</v>
      </c>
      <c r="B102" s="5">
        <v>0</v>
      </c>
      <c r="C102" s="5">
        <v>0</v>
      </c>
      <c r="D102" s="5" t="s">
        <v>101</v>
      </c>
      <c r="E102" s="5" t="s">
        <v>93</v>
      </c>
      <c r="F102" s="5" t="s">
        <v>88</v>
      </c>
      <c r="G102" s="5" t="s">
        <v>89</v>
      </c>
      <c r="H102" s="5" t="s">
        <v>60</v>
      </c>
      <c r="I102" s="5" t="s">
        <v>87</v>
      </c>
      <c r="J102" s="5" t="s">
        <v>29</v>
      </c>
      <c r="K102" s="5" t="s">
        <v>48</v>
      </c>
      <c r="L102" s="5" t="s">
        <v>31</v>
      </c>
      <c r="M102" s="5" t="s">
        <v>32</v>
      </c>
      <c r="N102" s="5" t="s">
        <v>16</v>
      </c>
    </row>
    <row r="103" spans="1:14" ht="15.75" customHeight="1" x14ac:dyDescent="0.2">
      <c r="A103" s="5" t="s">
        <v>34</v>
      </c>
      <c r="B103" s="5">
        <v>0</v>
      </c>
      <c r="C103" s="5">
        <v>0</v>
      </c>
      <c r="D103" s="5" t="s">
        <v>101</v>
      </c>
      <c r="E103" s="5" t="s">
        <v>93</v>
      </c>
      <c r="F103" s="5" t="s">
        <v>88</v>
      </c>
      <c r="G103" s="5" t="s">
        <v>90</v>
      </c>
      <c r="H103" s="5" t="s">
        <v>60</v>
      </c>
      <c r="I103" s="5" t="s">
        <v>34</v>
      </c>
      <c r="J103" s="5" t="s">
        <v>29</v>
      </c>
      <c r="K103" s="5" t="s">
        <v>48</v>
      </c>
      <c r="L103" s="5" t="s">
        <v>31</v>
      </c>
      <c r="M103" s="5" t="s">
        <v>32</v>
      </c>
      <c r="N103" s="5" t="s">
        <v>16</v>
      </c>
    </row>
    <row r="104" spans="1:14" ht="15.75" customHeight="1" x14ac:dyDescent="0.2">
      <c r="A104" s="5" t="s">
        <v>35</v>
      </c>
      <c r="B104" s="5">
        <v>0</v>
      </c>
      <c r="C104" s="5">
        <v>0</v>
      </c>
      <c r="D104" s="5" t="s">
        <v>101</v>
      </c>
      <c r="E104" s="5" t="s">
        <v>93</v>
      </c>
      <c r="F104" s="5" t="s">
        <v>88</v>
      </c>
      <c r="G104" s="5" t="s">
        <v>91</v>
      </c>
      <c r="H104" s="5" t="s">
        <v>60</v>
      </c>
      <c r="I104" s="5" t="s">
        <v>34</v>
      </c>
      <c r="J104" s="5" t="s">
        <v>29</v>
      </c>
      <c r="K104" s="5" t="s">
        <v>48</v>
      </c>
      <c r="L104" s="5" t="s">
        <v>31</v>
      </c>
      <c r="M104" s="5" t="s">
        <v>32</v>
      </c>
      <c r="N104" s="5" t="s">
        <v>16</v>
      </c>
    </row>
    <row r="105" spans="1:14" ht="15.75" customHeight="1" x14ac:dyDescent="0.2">
      <c r="A105" s="5" t="s">
        <v>36</v>
      </c>
      <c r="B105" s="5">
        <v>0</v>
      </c>
      <c r="C105" s="5">
        <v>0</v>
      </c>
      <c r="D105" s="5" t="s">
        <v>101</v>
      </c>
      <c r="E105" s="5" t="s">
        <v>93</v>
      </c>
      <c r="F105" s="5" t="s">
        <v>88</v>
      </c>
      <c r="G105" s="5" t="s">
        <v>90</v>
      </c>
      <c r="H105" s="5" t="s">
        <v>60</v>
      </c>
      <c r="I105" s="5" t="s">
        <v>36</v>
      </c>
      <c r="J105" s="5" t="s">
        <v>29</v>
      </c>
      <c r="K105" s="5" t="s">
        <v>48</v>
      </c>
      <c r="L105" s="5" t="s">
        <v>31</v>
      </c>
      <c r="M105" s="5" t="s">
        <v>32</v>
      </c>
      <c r="N105" s="5" t="s">
        <v>16</v>
      </c>
    </row>
    <row r="106" spans="1:14" ht="15.75" customHeight="1" x14ac:dyDescent="0.2">
      <c r="A106" s="5" t="s">
        <v>35</v>
      </c>
      <c r="B106" s="5">
        <v>0</v>
      </c>
      <c r="C106" s="5">
        <v>0</v>
      </c>
      <c r="D106" s="5" t="s">
        <v>101</v>
      </c>
      <c r="E106" s="5" t="s">
        <v>93</v>
      </c>
      <c r="F106" s="5" t="s">
        <v>88</v>
      </c>
      <c r="G106" s="5" t="s">
        <v>91</v>
      </c>
      <c r="H106" s="5" t="s">
        <v>60</v>
      </c>
      <c r="I106" s="5" t="s">
        <v>36</v>
      </c>
      <c r="J106" s="5" t="s">
        <v>29</v>
      </c>
      <c r="K106" s="5" t="s">
        <v>48</v>
      </c>
      <c r="L106" s="5" t="s">
        <v>31</v>
      </c>
      <c r="M106" s="5" t="s">
        <v>32</v>
      </c>
      <c r="N106" s="5" t="s">
        <v>16</v>
      </c>
    </row>
    <row r="107" spans="1:14" ht="15.75" customHeight="1" x14ac:dyDescent="0.2">
      <c r="A107" s="5" t="s">
        <v>37</v>
      </c>
      <c r="B107" s="5">
        <v>0</v>
      </c>
      <c r="C107" s="5">
        <v>0</v>
      </c>
      <c r="D107" s="5" t="s">
        <v>101</v>
      </c>
      <c r="E107" s="5" t="s">
        <v>93</v>
      </c>
      <c r="F107" s="5" t="s">
        <v>88</v>
      </c>
      <c r="G107" s="5" t="s">
        <v>90</v>
      </c>
      <c r="H107" s="5" t="s">
        <v>60</v>
      </c>
      <c r="I107" s="5" t="s">
        <v>37</v>
      </c>
      <c r="J107" s="5" t="s">
        <v>29</v>
      </c>
      <c r="K107" s="5" t="s">
        <v>48</v>
      </c>
      <c r="L107" s="5" t="s">
        <v>31</v>
      </c>
      <c r="M107" s="5" t="s">
        <v>32</v>
      </c>
      <c r="N107" s="5" t="s">
        <v>16</v>
      </c>
    </row>
    <row r="108" spans="1:14" ht="15.75" customHeight="1" x14ac:dyDescent="0.2">
      <c r="A108" s="5" t="s">
        <v>35</v>
      </c>
      <c r="B108" s="5">
        <v>0</v>
      </c>
      <c r="C108" s="5">
        <v>0</v>
      </c>
      <c r="D108" s="5" t="s">
        <v>101</v>
      </c>
      <c r="E108" s="5" t="s">
        <v>93</v>
      </c>
      <c r="F108" s="5" t="s">
        <v>88</v>
      </c>
      <c r="G108" s="5" t="s">
        <v>91</v>
      </c>
      <c r="H108" s="5" t="s">
        <v>60</v>
      </c>
      <c r="I108" s="5" t="s">
        <v>37</v>
      </c>
      <c r="J108" s="5" t="s">
        <v>29</v>
      </c>
      <c r="K108" s="5" t="s">
        <v>48</v>
      </c>
      <c r="L108" s="5" t="s">
        <v>31</v>
      </c>
      <c r="M108" s="5" t="s">
        <v>32</v>
      </c>
      <c r="N108" s="5" t="s">
        <v>16</v>
      </c>
    </row>
    <row r="109" spans="1:14" ht="15.75" customHeight="1" x14ac:dyDescent="0.2">
      <c r="A109" s="5" t="s">
        <v>38</v>
      </c>
      <c r="B109" s="5">
        <v>0</v>
      </c>
      <c r="C109" s="5">
        <v>0</v>
      </c>
      <c r="D109" s="5" t="s">
        <v>101</v>
      </c>
      <c r="E109" s="5" t="s">
        <v>93</v>
      </c>
      <c r="F109" s="5" t="s">
        <v>88</v>
      </c>
      <c r="G109" s="5" t="s">
        <v>90</v>
      </c>
      <c r="H109" s="5" t="s">
        <v>60</v>
      </c>
      <c r="I109" s="5" t="s">
        <v>38</v>
      </c>
      <c r="J109" s="5" t="s">
        <v>29</v>
      </c>
      <c r="K109" s="5" t="s">
        <v>48</v>
      </c>
      <c r="L109" s="5" t="s">
        <v>31</v>
      </c>
      <c r="M109" s="5" t="s">
        <v>32</v>
      </c>
      <c r="N109" s="5" t="s">
        <v>16</v>
      </c>
    </row>
    <row r="110" spans="1:14" ht="15.75" customHeight="1" x14ac:dyDescent="0.2">
      <c r="A110" s="5" t="s">
        <v>35</v>
      </c>
      <c r="B110" s="5">
        <v>0</v>
      </c>
      <c r="C110" s="5">
        <v>0</v>
      </c>
      <c r="D110" s="5" t="s">
        <v>101</v>
      </c>
      <c r="E110" s="5" t="s">
        <v>93</v>
      </c>
      <c r="F110" s="5" t="s">
        <v>88</v>
      </c>
      <c r="G110" s="5" t="s">
        <v>91</v>
      </c>
      <c r="H110" s="5" t="s">
        <v>60</v>
      </c>
      <c r="I110" s="5" t="s">
        <v>38</v>
      </c>
      <c r="J110" s="5" t="s">
        <v>29</v>
      </c>
      <c r="K110" s="5" t="s">
        <v>48</v>
      </c>
      <c r="L110" s="5" t="s">
        <v>31</v>
      </c>
      <c r="M110" s="5" t="s">
        <v>32</v>
      </c>
      <c r="N110" s="5" t="s">
        <v>16</v>
      </c>
    </row>
    <row r="111" spans="1:14" ht="15.75" customHeight="1" x14ac:dyDescent="0.2">
      <c r="A111" s="5" t="s">
        <v>39</v>
      </c>
      <c r="B111" s="5">
        <v>0</v>
      </c>
      <c r="C111" s="5">
        <v>0</v>
      </c>
      <c r="D111" s="5" t="s">
        <v>101</v>
      </c>
      <c r="E111" s="5" t="s">
        <v>93</v>
      </c>
      <c r="F111" s="5" t="s">
        <v>88</v>
      </c>
      <c r="G111" s="5" t="s">
        <v>90</v>
      </c>
      <c r="H111" s="5" t="s">
        <v>60</v>
      </c>
      <c r="I111" s="5" t="s">
        <v>39</v>
      </c>
      <c r="J111" s="5" t="s">
        <v>29</v>
      </c>
      <c r="K111" s="5" t="s">
        <v>48</v>
      </c>
      <c r="L111" s="5" t="s">
        <v>31</v>
      </c>
      <c r="M111" s="5" t="s">
        <v>32</v>
      </c>
      <c r="N111" s="5" t="s">
        <v>16</v>
      </c>
    </row>
    <row r="112" spans="1:14" ht="15.75" customHeight="1" x14ac:dyDescent="0.2">
      <c r="A112" s="5" t="s">
        <v>35</v>
      </c>
      <c r="B112" s="5">
        <v>0</v>
      </c>
      <c r="C112" s="5">
        <v>0</v>
      </c>
      <c r="D112" s="5" t="s">
        <v>101</v>
      </c>
      <c r="E112" s="5" t="s">
        <v>93</v>
      </c>
      <c r="F112" s="5" t="s">
        <v>88</v>
      </c>
      <c r="G112" s="5" t="s">
        <v>91</v>
      </c>
      <c r="H112" s="5" t="s">
        <v>60</v>
      </c>
      <c r="I112" s="5" t="s">
        <v>39</v>
      </c>
      <c r="J112" s="5" t="s">
        <v>29</v>
      </c>
      <c r="K112" s="5" t="s">
        <v>48</v>
      </c>
      <c r="L112" s="5" t="s">
        <v>31</v>
      </c>
      <c r="M112" s="5" t="s">
        <v>32</v>
      </c>
      <c r="N112" s="5" t="s">
        <v>16</v>
      </c>
    </row>
    <row r="113" spans="1:14" ht="15.75" customHeight="1" x14ac:dyDescent="0.2">
      <c r="A113" s="5" t="s">
        <v>40</v>
      </c>
      <c r="B113" s="5">
        <v>0</v>
      </c>
      <c r="C113" s="5">
        <v>0</v>
      </c>
      <c r="D113" s="5" t="s">
        <v>101</v>
      </c>
      <c r="E113" s="5" t="s">
        <v>93</v>
      </c>
      <c r="F113" s="5" t="s">
        <v>88</v>
      </c>
      <c r="G113" s="5" t="s">
        <v>90</v>
      </c>
      <c r="H113" s="5" t="s">
        <v>60</v>
      </c>
      <c r="I113" s="5" t="s">
        <v>40</v>
      </c>
      <c r="J113" s="5" t="s">
        <v>29</v>
      </c>
      <c r="K113" s="5" t="s">
        <v>48</v>
      </c>
      <c r="L113" s="5" t="s">
        <v>31</v>
      </c>
      <c r="M113" s="5" t="s">
        <v>32</v>
      </c>
      <c r="N113" s="5" t="s">
        <v>16</v>
      </c>
    </row>
    <row r="114" spans="1:14" ht="15.75" customHeight="1" x14ac:dyDescent="0.2">
      <c r="A114" s="5" t="s">
        <v>35</v>
      </c>
      <c r="B114" s="5">
        <v>0</v>
      </c>
      <c r="C114" s="5">
        <v>0</v>
      </c>
      <c r="D114" s="5" t="s">
        <v>101</v>
      </c>
      <c r="E114" s="5" t="s">
        <v>93</v>
      </c>
      <c r="F114" s="5" t="s">
        <v>88</v>
      </c>
      <c r="G114" s="5" t="s">
        <v>91</v>
      </c>
      <c r="H114" s="5" t="s">
        <v>60</v>
      </c>
      <c r="I114" s="5" t="s">
        <v>40</v>
      </c>
      <c r="J114" s="5" t="s">
        <v>29</v>
      </c>
      <c r="K114" s="5" t="s">
        <v>48</v>
      </c>
      <c r="L114" s="5" t="s">
        <v>31</v>
      </c>
      <c r="M114" s="5" t="s">
        <v>32</v>
      </c>
      <c r="N114" s="5" t="s">
        <v>16</v>
      </c>
    </row>
    <row r="115" spans="1:14" ht="15.75" customHeight="1" x14ac:dyDescent="0.2">
      <c r="A115" s="5" t="s">
        <v>41</v>
      </c>
      <c r="B115" s="5">
        <v>0</v>
      </c>
      <c r="C115" s="5">
        <v>0</v>
      </c>
      <c r="D115" s="5" t="s">
        <v>101</v>
      </c>
      <c r="E115" s="5" t="s">
        <v>93</v>
      </c>
      <c r="F115" s="5" t="s">
        <v>88</v>
      </c>
      <c r="G115" s="5" t="s">
        <v>90</v>
      </c>
      <c r="H115" s="5" t="s">
        <v>60</v>
      </c>
      <c r="I115" s="5" t="s">
        <v>41</v>
      </c>
      <c r="J115" s="5" t="s">
        <v>29</v>
      </c>
      <c r="K115" s="5" t="s">
        <v>48</v>
      </c>
      <c r="L115" s="5" t="s">
        <v>31</v>
      </c>
      <c r="M115" s="5" t="s">
        <v>32</v>
      </c>
      <c r="N115" s="5" t="s">
        <v>16</v>
      </c>
    </row>
    <row r="116" spans="1:14" ht="15.75" customHeight="1" x14ac:dyDescent="0.2">
      <c r="A116" s="5" t="s">
        <v>35</v>
      </c>
      <c r="B116" s="5">
        <v>0</v>
      </c>
      <c r="C116" s="5">
        <v>0</v>
      </c>
      <c r="D116" s="5" t="s">
        <v>101</v>
      </c>
      <c r="E116" s="5" t="s">
        <v>93</v>
      </c>
      <c r="F116" s="5" t="s">
        <v>88</v>
      </c>
      <c r="G116" s="5" t="s">
        <v>91</v>
      </c>
      <c r="H116" s="5" t="s">
        <v>60</v>
      </c>
      <c r="I116" s="5" t="s">
        <v>41</v>
      </c>
      <c r="J116" s="5" t="s">
        <v>29</v>
      </c>
      <c r="K116" s="5" t="s">
        <v>48</v>
      </c>
      <c r="L116" s="5" t="s">
        <v>31</v>
      </c>
      <c r="M116" s="5" t="s">
        <v>32</v>
      </c>
      <c r="N116" s="5" t="s">
        <v>16</v>
      </c>
    </row>
    <row r="117" spans="1:14" ht="15.75" customHeight="1" x14ac:dyDescent="0.2">
      <c r="A117" s="5" t="s">
        <v>42</v>
      </c>
      <c r="B117" s="5">
        <v>0</v>
      </c>
      <c r="C117" s="5">
        <v>0</v>
      </c>
      <c r="D117" s="5" t="s">
        <v>101</v>
      </c>
      <c r="E117" s="5" t="s">
        <v>93</v>
      </c>
      <c r="F117" s="5" t="s">
        <v>88</v>
      </c>
      <c r="G117" s="5" t="s">
        <v>90</v>
      </c>
      <c r="H117" s="5" t="s">
        <v>60</v>
      </c>
      <c r="I117" s="5" t="s">
        <v>42</v>
      </c>
      <c r="J117" s="5" t="s">
        <v>29</v>
      </c>
      <c r="K117" s="5" t="s">
        <v>48</v>
      </c>
      <c r="L117" s="5" t="s">
        <v>31</v>
      </c>
      <c r="M117" s="5" t="s">
        <v>32</v>
      </c>
      <c r="N117" s="5" t="s">
        <v>16</v>
      </c>
    </row>
    <row r="118" spans="1:14" ht="15.75" customHeight="1" x14ac:dyDescent="0.2">
      <c r="A118" s="5" t="s">
        <v>35</v>
      </c>
      <c r="B118" s="5">
        <v>0</v>
      </c>
      <c r="C118" s="5">
        <v>0</v>
      </c>
      <c r="D118" s="5" t="s">
        <v>101</v>
      </c>
      <c r="E118" s="5" t="s">
        <v>93</v>
      </c>
      <c r="F118" s="5" t="s">
        <v>88</v>
      </c>
      <c r="G118" s="5" t="s">
        <v>91</v>
      </c>
      <c r="H118" s="5" t="s">
        <v>60</v>
      </c>
      <c r="I118" s="5" t="s">
        <v>42</v>
      </c>
      <c r="J118" s="5" t="s">
        <v>29</v>
      </c>
      <c r="K118" s="5" t="s">
        <v>48</v>
      </c>
      <c r="L118" s="5" t="s">
        <v>31</v>
      </c>
      <c r="M118" s="5" t="s">
        <v>32</v>
      </c>
      <c r="N118" s="5" t="s">
        <v>16</v>
      </c>
    </row>
    <row r="119" spans="1:14" ht="15.75" customHeight="1" x14ac:dyDescent="0.2">
      <c r="A119" s="5" t="s">
        <v>43</v>
      </c>
      <c r="B119" s="5">
        <v>0</v>
      </c>
      <c r="C119" s="5">
        <v>0</v>
      </c>
      <c r="D119" s="5" t="s">
        <v>101</v>
      </c>
      <c r="E119" s="5" t="s">
        <v>93</v>
      </c>
      <c r="F119" s="5" t="s">
        <v>88</v>
      </c>
      <c r="G119" s="5" t="s">
        <v>90</v>
      </c>
      <c r="H119" s="5" t="s">
        <v>60</v>
      </c>
      <c r="I119" s="5" t="s">
        <v>43</v>
      </c>
      <c r="J119" s="5" t="s">
        <v>29</v>
      </c>
      <c r="K119" s="5" t="s">
        <v>48</v>
      </c>
      <c r="L119" s="5" t="s">
        <v>31</v>
      </c>
      <c r="M119" s="5" t="s">
        <v>32</v>
      </c>
      <c r="N119" s="5" t="s">
        <v>16</v>
      </c>
    </row>
    <row r="120" spans="1:14" ht="15.75" customHeight="1" x14ac:dyDescent="0.2">
      <c r="A120" s="5" t="s">
        <v>35</v>
      </c>
      <c r="B120" s="5">
        <v>0</v>
      </c>
      <c r="C120" s="5">
        <v>0</v>
      </c>
      <c r="D120" s="5" t="s">
        <v>101</v>
      </c>
      <c r="E120" s="5" t="s">
        <v>93</v>
      </c>
      <c r="F120" s="5" t="s">
        <v>88</v>
      </c>
      <c r="G120" s="5" t="s">
        <v>91</v>
      </c>
      <c r="H120" s="5" t="s">
        <v>60</v>
      </c>
      <c r="I120" s="5" t="s">
        <v>43</v>
      </c>
      <c r="J120" s="5" t="s">
        <v>29</v>
      </c>
      <c r="K120" s="5" t="s">
        <v>48</v>
      </c>
      <c r="L120" s="5" t="s">
        <v>31</v>
      </c>
      <c r="M120" s="5" t="s">
        <v>32</v>
      </c>
      <c r="N120" s="5" t="s">
        <v>16</v>
      </c>
    </row>
    <row r="121" spans="1:14" ht="15.75" customHeight="1" x14ac:dyDescent="0.2">
      <c r="A121" s="5" t="s">
        <v>44</v>
      </c>
      <c r="B121" s="5">
        <v>0</v>
      </c>
      <c r="C121" s="5">
        <v>0</v>
      </c>
      <c r="D121" s="5" t="s">
        <v>101</v>
      </c>
      <c r="E121" s="5" t="s">
        <v>93</v>
      </c>
      <c r="F121" s="5" t="s">
        <v>88</v>
      </c>
      <c r="G121" s="5" t="s">
        <v>90</v>
      </c>
      <c r="H121" s="5" t="s">
        <v>60</v>
      </c>
      <c r="I121" s="5" t="s">
        <v>44</v>
      </c>
      <c r="J121" s="5" t="s">
        <v>29</v>
      </c>
      <c r="K121" s="5" t="s">
        <v>48</v>
      </c>
      <c r="L121" s="5" t="s">
        <v>31</v>
      </c>
      <c r="M121" s="5" t="s">
        <v>32</v>
      </c>
      <c r="N121" s="5" t="s">
        <v>16</v>
      </c>
    </row>
    <row r="122" spans="1:14" ht="15.75" customHeight="1" x14ac:dyDescent="0.2">
      <c r="A122" s="5" t="s">
        <v>35</v>
      </c>
      <c r="B122" s="5">
        <v>0</v>
      </c>
      <c r="C122" s="5">
        <v>0</v>
      </c>
      <c r="D122" s="5" t="s">
        <v>101</v>
      </c>
      <c r="E122" s="5" t="s">
        <v>93</v>
      </c>
      <c r="F122" s="5" t="s">
        <v>88</v>
      </c>
      <c r="G122" s="5" t="s">
        <v>91</v>
      </c>
      <c r="H122" s="5" t="s">
        <v>60</v>
      </c>
      <c r="I122" s="5" t="s">
        <v>44</v>
      </c>
      <c r="J122" s="5" t="s">
        <v>29</v>
      </c>
      <c r="K122" s="5" t="s">
        <v>48</v>
      </c>
      <c r="L122" s="5" t="s">
        <v>31</v>
      </c>
      <c r="M122" s="5" t="s">
        <v>32</v>
      </c>
      <c r="N122" s="5" t="s">
        <v>16</v>
      </c>
    </row>
    <row r="123" spans="1:14" ht="15.75" customHeight="1" x14ac:dyDescent="0.2">
      <c r="A123" s="5" t="s">
        <v>45</v>
      </c>
      <c r="B123" s="5">
        <v>0</v>
      </c>
      <c r="C123" s="5">
        <v>0</v>
      </c>
      <c r="D123" s="5" t="s">
        <v>101</v>
      </c>
      <c r="E123" s="5" t="s">
        <v>93</v>
      </c>
      <c r="F123" s="5" t="s">
        <v>88</v>
      </c>
      <c r="G123" s="5" t="s">
        <v>90</v>
      </c>
      <c r="H123" s="5" t="s">
        <v>60</v>
      </c>
      <c r="I123" s="5" t="s">
        <v>45</v>
      </c>
      <c r="J123" s="5" t="s">
        <v>29</v>
      </c>
      <c r="K123" s="5" t="s">
        <v>48</v>
      </c>
      <c r="L123" s="5" t="s">
        <v>31</v>
      </c>
      <c r="M123" s="5" t="s">
        <v>32</v>
      </c>
      <c r="N123" s="5" t="s">
        <v>16</v>
      </c>
    </row>
    <row r="124" spans="1:14" ht="15.75" customHeight="1" x14ac:dyDescent="0.2">
      <c r="A124" s="5" t="s">
        <v>35</v>
      </c>
      <c r="B124" s="5">
        <v>0</v>
      </c>
      <c r="C124" s="5">
        <v>0</v>
      </c>
      <c r="D124" s="5" t="s">
        <v>101</v>
      </c>
      <c r="E124" s="5" t="s">
        <v>93</v>
      </c>
      <c r="F124" s="5" t="s">
        <v>88</v>
      </c>
      <c r="G124" s="5" t="s">
        <v>91</v>
      </c>
      <c r="H124" s="5" t="s">
        <v>60</v>
      </c>
      <c r="I124" s="5" t="s">
        <v>45</v>
      </c>
      <c r="J124" s="5" t="s">
        <v>29</v>
      </c>
      <c r="K124" s="5" t="s">
        <v>48</v>
      </c>
      <c r="L124" s="5" t="s">
        <v>31</v>
      </c>
      <c r="M124" s="5" t="s">
        <v>32</v>
      </c>
      <c r="N124" s="5" t="s">
        <v>16</v>
      </c>
    </row>
    <row r="125" spans="1:14" ht="15.75" customHeight="1" x14ac:dyDescent="0.2">
      <c r="A125" s="5" t="s">
        <v>46</v>
      </c>
      <c r="B125" s="5">
        <v>0</v>
      </c>
      <c r="C125" s="5">
        <v>0</v>
      </c>
      <c r="D125" s="5" t="s">
        <v>101</v>
      </c>
      <c r="E125" s="5" t="s">
        <v>93</v>
      </c>
      <c r="F125" s="5" t="s">
        <v>88</v>
      </c>
      <c r="G125" s="5" t="s">
        <v>90</v>
      </c>
      <c r="H125" s="5" t="s">
        <v>60</v>
      </c>
      <c r="I125" s="5" t="s">
        <v>46</v>
      </c>
      <c r="J125" s="5" t="s">
        <v>29</v>
      </c>
      <c r="K125" s="5" t="s">
        <v>48</v>
      </c>
      <c r="L125" s="5" t="s">
        <v>31</v>
      </c>
      <c r="M125" s="5" t="s">
        <v>32</v>
      </c>
      <c r="N125" s="5" t="s">
        <v>16</v>
      </c>
    </row>
    <row r="126" spans="1:14" ht="15.75" customHeight="1" x14ac:dyDescent="0.2">
      <c r="A126" s="5" t="s">
        <v>35</v>
      </c>
      <c r="B126" s="5">
        <v>0</v>
      </c>
      <c r="C126" s="5">
        <v>0</v>
      </c>
      <c r="D126" s="5" t="s">
        <v>101</v>
      </c>
      <c r="E126" s="5" t="s">
        <v>93</v>
      </c>
      <c r="F126" s="5" t="s">
        <v>88</v>
      </c>
      <c r="G126" s="5" t="s">
        <v>91</v>
      </c>
      <c r="H126" s="5" t="s">
        <v>60</v>
      </c>
      <c r="I126" s="5" t="s">
        <v>46</v>
      </c>
      <c r="J126" s="5" t="s">
        <v>29</v>
      </c>
      <c r="K126" s="5" t="s">
        <v>48</v>
      </c>
      <c r="L126" s="5" t="s">
        <v>31</v>
      </c>
      <c r="M126" s="5" t="s">
        <v>32</v>
      </c>
      <c r="N126" s="5" t="s">
        <v>16</v>
      </c>
    </row>
    <row r="127" spans="1:14" ht="15.75" customHeight="1" x14ac:dyDescent="0.2">
      <c r="A127" s="5" t="s">
        <v>87</v>
      </c>
      <c r="B127" s="5">
        <v>1</v>
      </c>
      <c r="C127" s="5">
        <v>56.1</v>
      </c>
      <c r="D127" s="5" t="s">
        <v>102</v>
      </c>
      <c r="E127" s="5" t="s">
        <v>93</v>
      </c>
      <c r="F127" s="5" t="s">
        <v>88</v>
      </c>
      <c r="G127" s="5" t="s">
        <v>89</v>
      </c>
      <c r="H127" s="5" t="s">
        <v>61</v>
      </c>
      <c r="I127" s="5" t="s">
        <v>87</v>
      </c>
      <c r="J127" s="5" t="s">
        <v>29</v>
      </c>
      <c r="K127" s="5" t="s">
        <v>48</v>
      </c>
      <c r="L127" s="5" t="s">
        <v>31</v>
      </c>
      <c r="M127" s="5" t="s">
        <v>32</v>
      </c>
      <c r="N127" s="5" t="s">
        <v>16</v>
      </c>
    </row>
    <row r="128" spans="1:14" ht="15.75" customHeight="1" x14ac:dyDescent="0.2">
      <c r="A128" s="5" t="s">
        <v>34</v>
      </c>
      <c r="B128" s="5">
        <v>1</v>
      </c>
      <c r="C128" s="5">
        <v>56.1</v>
      </c>
      <c r="D128" s="5" t="s">
        <v>102</v>
      </c>
      <c r="E128" s="5" t="s">
        <v>93</v>
      </c>
      <c r="F128" s="5" t="s">
        <v>88</v>
      </c>
      <c r="G128" s="5" t="s">
        <v>90</v>
      </c>
      <c r="H128" s="5" t="s">
        <v>61</v>
      </c>
      <c r="I128" s="5" t="s">
        <v>34</v>
      </c>
      <c r="J128" s="5" t="s">
        <v>29</v>
      </c>
      <c r="K128" s="5" t="s">
        <v>48</v>
      </c>
      <c r="L128" s="5" t="s">
        <v>31</v>
      </c>
      <c r="M128" s="5" t="s">
        <v>32</v>
      </c>
      <c r="N128" s="5" t="s">
        <v>16</v>
      </c>
    </row>
    <row r="129" spans="1:14" ht="15.75" customHeight="1" x14ac:dyDescent="0.2">
      <c r="A129" s="5" t="s">
        <v>35</v>
      </c>
      <c r="B129" s="5">
        <v>1</v>
      </c>
      <c r="C129" s="5">
        <v>56.1</v>
      </c>
      <c r="D129" s="5" t="s">
        <v>102</v>
      </c>
      <c r="E129" s="5" t="s">
        <v>93</v>
      </c>
      <c r="F129" s="5" t="s">
        <v>88</v>
      </c>
      <c r="G129" s="5" t="s">
        <v>91</v>
      </c>
      <c r="H129" s="5" t="s">
        <v>61</v>
      </c>
      <c r="I129" s="5" t="s">
        <v>34</v>
      </c>
      <c r="J129" s="5" t="s">
        <v>29</v>
      </c>
      <c r="K129" s="5" t="s">
        <v>48</v>
      </c>
      <c r="L129" s="5" t="s">
        <v>31</v>
      </c>
      <c r="M129" s="5" t="s">
        <v>32</v>
      </c>
      <c r="N129" s="5" t="s">
        <v>16</v>
      </c>
    </row>
    <row r="130" spans="1:14" ht="15.75" customHeight="1" x14ac:dyDescent="0.2">
      <c r="A130" s="5" t="s">
        <v>36</v>
      </c>
      <c r="B130" s="5">
        <v>0</v>
      </c>
      <c r="C130" s="5">
        <v>0</v>
      </c>
      <c r="D130" s="5" t="s">
        <v>102</v>
      </c>
      <c r="E130" s="5" t="s">
        <v>93</v>
      </c>
      <c r="F130" s="5" t="s">
        <v>88</v>
      </c>
      <c r="G130" s="5" t="s">
        <v>90</v>
      </c>
      <c r="H130" s="5" t="s">
        <v>61</v>
      </c>
      <c r="I130" s="5" t="s">
        <v>36</v>
      </c>
      <c r="J130" s="5" t="s">
        <v>29</v>
      </c>
      <c r="K130" s="5" t="s">
        <v>48</v>
      </c>
      <c r="L130" s="5" t="s">
        <v>31</v>
      </c>
      <c r="M130" s="5" t="s">
        <v>32</v>
      </c>
      <c r="N130" s="5" t="s">
        <v>16</v>
      </c>
    </row>
    <row r="131" spans="1:14" ht="15.75" customHeight="1" x14ac:dyDescent="0.2">
      <c r="A131" s="5" t="s">
        <v>35</v>
      </c>
      <c r="B131" s="5">
        <v>0</v>
      </c>
      <c r="C131" s="5">
        <v>0</v>
      </c>
      <c r="D131" s="5" t="s">
        <v>102</v>
      </c>
      <c r="E131" s="5" t="s">
        <v>93</v>
      </c>
      <c r="F131" s="5" t="s">
        <v>88</v>
      </c>
      <c r="G131" s="5" t="s">
        <v>91</v>
      </c>
      <c r="H131" s="5" t="s">
        <v>61</v>
      </c>
      <c r="I131" s="5" t="s">
        <v>36</v>
      </c>
      <c r="J131" s="5" t="s">
        <v>29</v>
      </c>
      <c r="K131" s="5" t="s">
        <v>48</v>
      </c>
      <c r="L131" s="5" t="s">
        <v>31</v>
      </c>
      <c r="M131" s="5" t="s">
        <v>32</v>
      </c>
      <c r="N131" s="5" t="s">
        <v>16</v>
      </c>
    </row>
    <row r="132" spans="1:14" ht="15.75" customHeight="1" x14ac:dyDescent="0.2">
      <c r="A132" s="5" t="s">
        <v>37</v>
      </c>
      <c r="B132" s="5">
        <v>0</v>
      </c>
      <c r="C132" s="5">
        <v>0</v>
      </c>
      <c r="D132" s="5" t="s">
        <v>102</v>
      </c>
      <c r="E132" s="5" t="s">
        <v>93</v>
      </c>
      <c r="F132" s="5" t="s">
        <v>88</v>
      </c>
      <c r="G132" s="5" t="s">
        <v>90</v>
      </c>
      <c r="H132" s="5" t="s">
        <v>61</v>
      </c>
      <c r="I132" s="5" t="s">
        <v>37</v>
      </c>
      <c r="J132" s="5" t="s">
        <v>29</v>
      </c>
      <c r="K132" s="5" t="s">
        <v>48</v>
      </c>
      <c r="L132" s="5" t="s">
        <v>31</v>
      </c>
      <c r="M132" s="5" t="s">
        <v>32</v>
      </c>
      <c r="N132" s="5" t="s">
        <v>16</v>
      </c>
    </row>
    <row r="133" spans="1:14" ht="15.75" customHeight="1" x14ac:dyDescent="0.2">
      <c r="A133" s="5" t="s">
        <v>35</v>
      </c>
      <c r="B133" s="5">
        <v>0</v>
      </c>
      <c r="C133" s="5">
        <v>0</v>
      </c>
      <c r="D133" s="5" t="s">
        <v>102</v>
      </c>
      <c r="E133" s="5" t="s">
        <v>93</v>
      </c>
      <c r="F133" s="5" t="s">
        <v>88</v>
      </c>
      <c r="G133" s="5" t="s">
        <v>91</v>
      </c>
      <c r="H133" s="5" t="s">
        <v>61</v>
      </c>
      <c r="I133" s="5" t="s">
        <v>37</v>
      </c>
      <c r="J133" s="5" t="s">
        <v>29</v>
      </c>
      <c r="K133" s="5" t="s">
        <v>48</v>
      </c>
      <c r="L133" s="5" t="s">
        <v>31</v>
      </c>
      <c r="M133" s="5" t="s">
        <v>32</v>
      </c>
      <c r="N133" s="5" t="s">
        <v>16</v>
      </c>
    </row>
    <row r="134" spans="1:14" ht="15.75" customHeight="1" x14ac:dyDescent="0.2">
      <c r="A134" s="5" t="s">
        <v>38</v>
      </c>
      <c r="B134" s="5">
        <v>0</v>
      </c>
      <c r="C134" s="5">
        <v>0</v>
      </c>
      <c r="D134" s="5" t="s">
        <v>102</v>
      </c>
      <c r="E134" s="5" t="s">
        <v>93</v>
      </c>
      <c r="F134" s="5" t="s">
        <v>88</v>
      </c>
      <c r="G134" s="5" t="s">
        <v>90</v>
      </c>
      <c r="H134" s="5" t="s">
        <v>61</v>
      </c>
      <c r="I134" s="5" t="s">
        <v>38</v>
      </c>
      <c r="J134" s="5" t="s">
        <v>29</v>
      </c>
      <c r="K134" s="5" t="s">
        <v>48</v>
      </c>
      <c r="L134" s="5" t="s">
        <v>31</v>
      </c>
      <c r="M134" s="5" t="s">
        <v>32</v>
      </c>
      <c r="N134" s="5" t="s">
        <v>16</v>
      </c>
    </row>
    <row r="135" spans="1:14" ht="15.75" customHeight="1" x14ac:dyDescent="0.2">
      <c r="A135" s="5" t="s">
        <v>35</v>
      </c>
      <c r="B135" s="5">
        <v>0</v>
      </c>
      <c r="C135" s="5">
        <v>0</v>
      </c>
      <c r="D135" s="5" t="s">
        <v>102</v>
      </c>
      <c r="E135" s="5" t="s">
        <v>93</v>
      </c>
      <c r="F135" s="5" t="s">
        <v>88</v>
      </c>
      <c r="G135" s="5" t="s">
        <v>91</v>
      </c>
      <c r="H135" s="5" t="s">
        <v>61</v>
      </c>
      <c r="I135" s="5" t="s">
        <v>38</v>
      </c>
      <c r="J135" s="5" t="s">
        <v>29</v>
      </c>
      <c r="K135" s="5" t="s">
        <v>48</v>
      </c>
      <c r="L135" s="5" t="s">
        <v>31</v>
      </c>
      <c r="M135" s="5" t="s">
        <v>32</v>
      </c>
      <c r="N135" s="5" t="s">
        <v>16</v>
      </c>
    </row>
    <row r="136" spans="1:14" ht="15.75" customHeight="1" x14ac:dyDescent="0.2">
      <c r="A136" s="5" t="s">
        <v>39</v>
      </c>
      <c r="B136" s="5">
        <v>0</v>
      </c>
      <c r="C136" s="5">
        <v>0</v>
      </c>
      <c r="D136" s="5" t="s">
        <v>102</v>
      </c>
      <c r="E136" s="5" t="s">
        <v>93</v>
      </c>
      <c r="F136" s="5" t="s">
        <v>88</v>
      </c>
      <c r="G136" s="5" t="s">
        <v>90</v>
      </c>
      <c r="H136" s="5" t="s">
        <v>61</v>
      </c>
      <c r="I136" s="5" t="s">
        <v>39</v>
      </c>
      <c r="J136" s="5" t="s">
        <v>29</v>
      </c>
      <c r="K136" s="5" t="s">
        <v>48</v>
      </c>
      <c r="L136" s="5" t="s">
        <v>31</v>
      </c>
      <c r="M136" s="5" t="s">
        <v>32</v>
      </c>
      <c r="N136" s="5" t="s">
        <v>16</v>
      </c>
    </row>
    <row r="137" spans="1:14" ht="15.75" customHeight="1" x14ac:dyDescent="0.2">
      <c r="A137" s="5" t="s">
        <v>35</v>
      </c>
      <c r="B137" s="5">
        <v>0</v>
      </c>
      <c r="C137" s="5">
        <v>0</v>
      </c>
      <c r="D137" s="5" t="s">
        <v>102</v>
      </c>
      <c r="E137" s="5" t="s">
        <v>93</v>
      </c>
      <c r="F137" s="5" t="s">
        <v>88</v>
      </c>
      <c r="G137" s="5" t="s">
        <v>91</v>
      </c>
      <c r="H137" s="5" t="s">
        <v>61</v>
      </c>
      <c r="I137" s="5" t="s">
        <v>39</v>
      </c>
      <c r="J137" s="5" t="s">
        <v>29</v>
      </c>
      <c r="K137" s="5" t="s">
        <v>48</v>
      </c>
      <c r="L137" s="5" t="s">
        <v>31</v>
      </c>
      <c r="M137" s="5" t="s">
        <v>32</v>
      </c>
      <c r="N137" s="5" t="s">
        <v>16</v>
      </c>
    </row>
    <row r="138" spans="1:14" ht="15.75" customHeight="1" x14ac:dyDescent="0.2">
      <c r="A138" s="5" t="s">
        <v>40</v>
      </c>
      <c r="B138" s="5">
        <v>0</v>
      </c>
      <c r="C138" s="5">
        <v>0</v>
      </c>
      <c r="D138" s="5" t="s">
        <v>102</v>
      </c>
      <c r="E138" s="5" t="s">
        <v>93</v>
      </c>
      <c r="F138" s="5" t="s">
        <v>88</v>
      </c>
      <c r="G138" s="5" t="s">
        <v>90</v>
      </c>
      <c r="H138" s="5" t="s">
        <v>61</v>
      </c>
      <c r="I138" s="5" t="s">
        <v>40</v>
      </c>
      <c r="J138" s="5" t="s">
        <v>29</v>
      </c>
      <c r="K138" s="5" t="s">
        <v>48</v>
      </c>
      <c r="L138" s="5" t="s">
        <v>31</v>
      </c>
      <c r="M138" s="5" t="s">
        <v>32</v>
      </c>
      <c r="N138" s="5" t="s">
        <v>16</v>
      </c>
    </row>
    <row r="139" spans="1:14" ht="15.75" customHeight="1" x14ac:dyDescent="0.2">
      <c r="A139" s="5" t="s">
        <v>35</v>
      </c>
      <c r="B139" s="5">
        <v>0</v>
      </c>
      <c r="C139" s="5">
        <v>0</v>
      </c>
      <c r="D139" s="5" t="s">
        <v>102</v>
      </c>
      <c r="E139" s="5" t="s">
        <v>93</v>
      </c>
      <c r="F139" s="5" t="s">
        <v>88</v>
      </c>
      <c r="G139" s="5" t="s">
        <v>91</v>
      </c>
      <c r="H139" s="5" t="s">
        <v>61</v>
      </c>
      <c r="I139" s="5" t="s">
        <v>40</v>
      </c>
      <c r="J139" s="5" t="s">
        <v>29</v>
      </c>
      <c r="K139" s="5" t="s">
        <v>48</v>
      </c>
      <c r="L139" s="5" t="s">
        <v>31</v>
      </c>
      <c r="M139" s="5" t="s">
        <v>32</v>
      </c>
      <c r="N139" s="5" t="s">
        <v>16</v>
      </c>
    </row>
    <row r="140" spans="1:14" ht="15.75" customHeight="1" x14ac:dyDescent="0.2">
      <c r="A140" s="5" t="s">
        <v>41</v>
      </c>
      <c r="B140" s="5">
        <v>0</v>
      </c>
      <c r="C140" s="5">
        <v>0</v>
      </c>
      <c r="D140" s="5" t="s">
        <v>102</v>
      </c>
      <c r="E140" s="5" t="s">
        <v>93</v>
      </c>
      <c r="F140" s="5" t="s">
        <v>88</v>
      </c>
      <c r="G140" s="5" t="s">
        <v>90</v>
      </c>
      <c r="H140" s="5" t="s">
        <v>61</v>
      </c>
      <c r="I140" s="5" t="s">
        <v>41</v>
      </c>
      <c r="J140" s="5" t="s">
        <v>29</v>
      </c>
      <c r="K140" s="5" t="s">
        <v>48</v>
      </c>
      <c r="L140" s="5" t="s">
        <v>31</v>
      </c>
      <c r="M140" s="5" t="s">
        <v>32</v>
      </c>
      <c r="N140" s="5" t="s">
        <v>16</v>
      </c>
    </row>
    <row r="141" spans="1:14" ht="15.75" customHeight="1" x14ac:dyDescent="0.2">
      <c r="A141" s="5" t="s">
        <v>35</v>
      </c>
      <c r="B141" s="5">
        <v>0</v>
      </c>
      <c r="C141" s="5">
        <v>0</v>
      </c>
      <c r="D141" s="5" t="s">
        <v>102</v>
      </c>
      <c r="E141" s="5" t="s">
        <v>93</v>
      </c>
      <c r="F141" s="5" t="s">
        <v>88</v>
      </c>
      <c r="G141" s="5" t="s">
        <v>91</v>
      </c>
      <c r="H141" s="5" t="s">
        <v>61</v>
      </c>
      <c r="I141" s="5" t="s">
        <v>41</v>
      </c>
      <c r="J141" s="5" t="s">
        <v>29</v>
      </c>
      <c r="K141" s="5" t="s">
        <v>48</v>
      </c>
      <c r="L141" s="5" t="s">
        <v>31</v>
      </c>
      <c r="M141" s="5" t="s">
        <v>32</v>
      </c>
      <c r="N141" s="5" t="s">
        <v>16</v>
      </c>
    </row>
    <row r="142" spans="1:14" ht="15.75" customHeight="1" x14ac:dyDescent="0.2">
      <c r="A142" s="5" t="s">
        <v>42</v>
      </c>
      <c r="B142" s="5">
        <v>0</v>
      </c>
      <c r="C142" s="5">
        <v>0</v>
      </c>
      <c r="D142" s="5" t="s">
        <v>102</v>
      </c>
      <c r="E142" s="5" t="s">
        <v>93</v>
      </c>
      <c r="F142" s="5" t="s">
        <v>88</v>
      </c>
      <c r="G142" s="5" t="s">
        <v>90</v>
      </c>
      <c r="H142" s="5" t="s">
        <v>61</v>
      </c>
      <c r="I142" s="5" t="s">
        <v>42</v>
      </c>
      <c r="J142" s="5" t="s">
        <v>29</v>
      </c>
      <c r="K142" s="5" t="s">
        <v>48</v>
      </c>
      <c r="L142" s="5" t="s">
        <v>31</v>
      </c>
      <c r="M142" s="5" t="s">
        <v>32</v>
      </c>
      <c r="N142" s="5" t="s">
        <v>16</v>
      </c>
    </row>
    <row r="143" spans="1:14" ht="15.75" customHeight="1" x14ac:dyDescent="0.2">
      <c r="A143" s="5" t="s">
        <v>35</v>
      </c>
      <c r="B143" s="5">
        <v>0</v>
      </c>
      <c r="C143" s="5">
        <v>0</v>
      </c>
      <c r="D143" s="5" t="s">
        <v>102</v>
      </c>
      <c r="E143" s="5" t="s">
        <v>93</v>
      </c>
      <c r="F143" s="5" t="s">
        <v>88</v>
      </c>
      <c r="G143" s="5" t="s">
        <v>91</v>
      </c>
      <c r="H143" s="5" t="s">
        <v>61</v>
      </c>
      <c r="I143" s="5" t="s">
        <v>42</v>
      </c>
      <c r="J143" s="5" t="s">
        <v>29</v>
      </c>
      <c r="K143" s="5" t="s">
        <v>48</v>
      </c>
      <c r="L143" s="5" t="s">
        <v>31</v>
      </c>
      <c r="M143" s="5" t="s">
        <v>32</v>
      </c>
      <c r="N143" s="5" t="s">
        <v>16</v>
      </c>
    </row>
    <row r="144" spans="1:14" ht="15.75" customHeight="1" x14ac:dyDescent="0.2">
      <c r="A144" s="5" t="s">
        <v>43</v>
      </c>
      <c r="B144" s="5">
        <v>0</v>
      </c>
      <c r="C144" s="5">
        <v>0</v>
      </c>
      <c r="D144" s="5" t="s">
        <v>102</v>
      </c>
      <c r="E144" s="5" t="s">
        <v>93</v>
      </c>
      <c r="F144" s="5" t="s">
        <v>88</v>
      </c>
      <c r="G144" s="5" t="s">
        <v>90</v>
      </c>
      <c r="H144" s="5" t="s">
        <v>61</v>
      </c>
      <c r="I144" s="5" t="s">
        <v>43</v>
      </c>
      <c r="J144" s="5" t="s">
        <v>29</v>
      </c>
      <c r="K144" s="5" t="s">
        <v>48</v>
      </c>
      <c r="L144" s="5" t="s">
        <v>31</v>
      </c>
      <c r="M144" s="5" t="s">
        <v>32</v>
      </c>
      <c r="N144" s="5" t="s">
        <v>16</v>
      </c>
    </row>
    <row r="145" spans="1:14" ht="15.75" customHeight="1" x14ac:dyDescent="0.2">
      <c r="A145" s="5" t="s">
        <v>35</v>
      </c>
      <c r="B145" s="5">
        <v>0</v>
      </c>
      <c r="C145" s="5">
        <v>0</v>
      </c>
      <c r="D145" s="5" t="s">
        <v>102</v>
      </c>
      <c r="E145" s="5" t="s">
        <v>93</v>
      </c>
      <c r="F145" s="5" t="s">
        <v>88</v>
      </c>
      <c r="G145" s="5" t="s">
        <v>91</v>
      </c>
      <c r="H145" s="5" t="s">
        <v>61</v>
      </c>
      <c r="I145" s="5" t="s">
        <v>43</v>
      </c>
      <c r="J145" s="5" t="s">
        <v>29</v>
      </c>
      <c r="K145" s="5" t="s">
        <v>48</v>
      </c>
      <c r="L145" s="5" t="s">
        <v>31</v>
      </c>
      <c r="M145" s="5" t="s">
        <v>32</v>
      </c>
      <c r="N145" s="5" t="s">
        <v>16</v>
      </c>
    </row>
    <row r="146" spans="1:14" ht="15.75" customHeight="1" x14ac:dyDescent="0.2">
      <c r="A146" s="5" t="s">
        <v>44</v>
      </c>
      <c r="B146" s="5">
        <v>0</v>
      </c>
      <c r="C146" s="5">
        <v>0</v>
      </c>
      <c r="D146" s="5" t="s">
        <v>102</v>
      </c>
      <c r="E146" s="5" t="s">
        <v>93</v>
      </c>
      <c r="F146" s="5" t="s">
        <v>88</v>
      </c>
      <c r="G146" s="5" t="s">
        <v>90</v>
      </c>
      <c r="H146" s="5" t="s">
        <v>61</v>
      </c>
      <c r="I146" s="5" t="s">
        <v>44</v>
      </c>
      <c r="J146" s="5" t="s">
        <v>29</v>
      </c>
      <c r="K146" s="5" t="s">
        <v>48</v>
      </c>
      <c r="L146" s="5" t="s">
        <v>31</v>
      </c>
      <c r="M146" s="5" t="s">
        <v>32</v>
      </c>
      <c r="N146" s="5" t="s">
        <v>16</v>
      </c>
    </row>
    <row r="147" spans="1:14" ht="15.75" customHeight="1" x14ac:dyDescent="0.2">
      <c r="A147" s="5" t="s">
        <v>35</v>
      </c>
      <c r="B147" s="5">
        <v>0</v>
      </c>
      <c r="C147" s="5">
        <v>0</v>
      </c>
      <c r="D147" s="5" t="s">
        <v>102</v>
      </c>
      <c r="E147" s="5" t="s">
        <v>93</v>
      </c>
      <c r="F147" s="5" t="s">
        <v>88</v>
      </c>
      <c r="G147" s="5" t="s">
        <v>91</v>
      </c>
      <c r="H147" s="5" t="s">
        <v>61</v>
      </c>
      <c r="I147" s="5" t="s">
        <v>44</v>
      </c>
      <c r="J147" s="5" t="s">
        <v>29</v>
      </c>
      <c r="K147" s="5" t="s">
        <v>48</v>
      </c>
      <c r="L147" s="5" t="s">
        <v>31</v>
      </c>
      <c r="M147" s="5" t="s">
        <v>32</v>
      </c>
      <c r="N147" s="5" t="s">
        <v>16</v>
      </c>
    </row>
    <row r="148" spans="1:14" ht="15.75" customHeight="1" x14ac:dyDescent="0.2">
      <c r="A148" s="5" t="s">
        <v>45</v>
      </c>
      <c r="B148" s="5">
        <v>0</v>
      </c>
      <c r="C148" s="5">
        <v>0</v>
      </c>
      <c r="D148" s="5" t="s">
        <v>102</v>
      </c>
      <c r="E148" s="5" t="s">
        <v>93</v>
      </c>
      <c r="F148" s="5" t="s">
        <v>88</v>
      </c>
      <c r="G148" s="5" t="s">
        <v>90</v>
      </c>
      <c r="H148" s="5" t="s">
        <v>61</v>
      </c>
      <c r="I148" s="5" t="s">
        <v>45</v>
      </c>
      <c r="J148" s="5" t="s">
        <v>29</v>
      </c>
      <c r="K148" s="5" t="s">
        <v>48</v>
      </c>
      <c r="L148" s="5" t="s">
        <v>31</v>
      </c>
      <c r="M148" s="5" t="s">
        <v>32</v>
      </c>
      <c r="N148" s="5" t="s">
        <v>16</v>
      </c>
    </row>
    <row r="149" spans="1:14" ht="15.75" customHeight="1" x14ac:dyDescent="0.2">
      <c r="A149" s="5" t="s">
        <v>35</v>
      </c>
      <c r="B149" s="5">
        <v>0</v>
      </c>
      <c r="C149" s="5">
        <v>0</v>
      </c>
      <c r="D149" s="5" t="s">
        <v>102</v>
      </c>
      <c r="E149" s="5" t="s">
        <v>93</v>
      </c>
      <c r="F149" s="5" t="s">
        <v>88</v>
      </c>
      <c r="G149" s="5" t="s">
        <v>91</v>
      </c>
      <c r="H149" s="5" t="s">
        <v>61</v>
      </c>
      <c r="I149" s="5" t="s">
        <v>45</v>
      </c>
      <c r="J149" s="5" t="s">
        <v>29</v>
      </c>
      <c r="K149" s="5" t="s">
        <v>48</v>
      </c>
      <c r="L149" s="5" t="s">
        <v>31</v>
      </c>
      <c r="M149" s="5" t="s">
        <v>32</v>
      </c>
      <c r="N149" s="5" t="s">
        <v>16</v>
      </c>
    </row>
    <row r="150" spans="1:14" ht="15.75" customHeight="1" x14ac:dyDescent="0.2">
      <c r="A150" s="5" t="s">
        <v>46</v>
      </c>
      <c r="B150" s="5">
        <v>0</v>
      </c>
      <c r="C150" s="5">
        <v>0</v>
      </c>
      <c r="D150" s="5" t="s">
        <v>102</v>
      </c>
      <c r="E150" s="5" t="s">
        <v>93</v>
      </c>
      <c r="F150" s="5" t="s">
        <v>88</v>
      </c>
      <c r="G150" s="5" t="s">
        <v>90</v>
      </c>
      <c r="H150" s="5" t="s">
        <v>61</v>
      </c>
      <c r="I150" s="5" t="s">
        <v>46</v>
      </c>
      <c r="J150" s="5" t="s">
        <v>29</v>
      </c>
      <c r="K150" s="5" t="s">
        <v>48</v>
      </c>
      <c r="L150" s="5" t="s">
        <v>31</v>
      </c>
      <c r="M150" s="5" t="s">
        <v>32</v>
      </c>
      <c r="N150" s="5" t="s">
        <v>16</v>
      </c>
    </row>
    <row r="151" spans="1:14" ht="15.75" customHeight="1" x14ac:dyDescent="0.2">
      <c r="A151" s="5" t="s">
        <v>35</v>
      </c>
      <c r="B151" s="5">
        <v>0</v>
      </c>
      <c r="C151" s="5">
        <v>0</v>
      </c>
      <c r="D151" s="5" t="s">
        <v>102</v>
      </c>
      <c r="E151" s="5" t="s">
        <v>93</v>
      </c>
      <c r="F151" s="5" t="s">
        <v>88</v>
      </c>
      <c r="G151" s="5" t="s">
        <v>91</v>
      </c>
      <c r="H151" s="5" t="s">
        <v>61</v>
      </c>
      <c r="I151" s="5" t="s">
        <v>46</v>
      </c>
      <c r="J151" s="5" t="s">
        <v>29</v>
      </c>
      <c r="K151" s="5" t="s">
        <v>48</v>
      </c>
      <c r="L151" s="5" t="s">
        <v>31</v>
      </c>
      <c r="M151" s="5" t="s">
        <v>32</v>
      </c>
      <c r="N151" s="5" t="s">
        <v>16</v>
      </c>
    </row>
    <row r="152" spans="1:14" ht="15.75" customHeight="1" x14ac:dyDescent="0.2">
      <c r="A152" s="5" t="s">
        <v>87</v>
      </c>
      <c r="B152" s="5">
        <v>81</v>
      </c>
      <c r="C152" s="5">
        <v>3589.78</v>
      </c>
      <c r="D152" s="5" t="s">
        <v>103</v>
      </c>
      <c r="E152" s="5" t="s">
        <v>104</v>
      </c>
      <c r="F152" s="5" t="s">
        <v>88</v>
      </c>
      <c r="G152" s="5" t="s">
        <v>89</v>
      </c>
      <c r="H152" s="5" t="s">
        <v>61</v>
      </c>
      <c r="I152" s="5" t="s">
        <v>87</v>
      </c>
      <c r="J152" s="5" t="s">
        <v>29</v>
      </c>
      <c r="K152" s="5" t="s">
        <v>48</v>
      </c>
      <c r="L152" s="5" t="s">
        <v>31</v>
      </c>
      <c r="M152" s="5" t="s">
        <v>32</v>
      </c>
      <c r="N152" s="5" t="s">
        <v>16</v>
      </c>
    </row>
    <row r="153" spans="1:14" ht="15.75" customHeight="1" x14ac:dyDescent="0.2">
      <c r="A153" s="5" t="s">
        <v>34</v>
      </c>
      <c r="B153" s="5">
        <v>10</v>
      </c>
      <c r="C153" s="5">
        <v>428.93</v>
      </c>
      <c r="D153" s="5" t="s">
        <v>103</v>
      </c>
      <c r="E153" s="5" t="s">
        <v>104</v>
      </c>
      <c r="F153" s="5" t="s">
        <v>88</v>
      </c>
      <c r="G153" s="5" t="s">
        <v>90</v>
      </c>
      <c r="H153" s="5" t="s">
        <v>61</v>
      </c>
      <c r="I153" s="5" t="s">
        <v>34</v>
      </c>
      <c r="J153" s="5" t="s">
        <v>29</v>
      </c>
      <c r="K153" s="5" t="s">
        <v>48</v>
      </c>
      <c r="L153" s="5" t="s">
        <v>31</v>
      </c>
      <c r="M153" s="5" t="s">
        <v>32</v>
      </c>
      <c r="N153" s="5" t="s">
        <v>16</v>
      </c>
    </row>
    <row r="154" spans="1:14" ht="15.75" customHeight="1" x14ac:dyDescent="0.2">
      <c r="A154" s="5" t="s">
        <v>35</v>
      </c>
      <c r="B154" s="5">
        <v>10</v>
      </c>
      <c r="C154" s="5">
        <v>428.93</v>
      </c>
      <c r="D154" s="5" t="s">
        <v>103</v>
      </c>
      <c r="E154" s="5" t="s">
        <v>104</v>
      </c>
      <c r="F154" s="5" t="s">
        <v>88</v>
      </c>
      <c r="G154" s="5" t="s">
        <v>91</v>
      </c>
      <c r="H154" s="5" t="s">
        <v>61</v>
      </c>
      <c r="I154" s="5" t="s">
        <v>34</v>
      </c>
      <c r="J154" s="5" t="s">
        <v>29</v>
      </c>
      <c r="K154" s="5" t="s">
        <v>48</v>
      </c>
      <c r="L154" s="5" t="s">
        <v>31</v>
      </c>
      <c r="M154" s="5" t="s">
        <v>32</v>
      </c>
      <c r="N154" s="5" t="s">
        <v>16</v>
      </c>
    </row>
    <row r="155" spans="1:14" ht="15.75" customHeight="1" x14ac:dyDescent="0.2">
      <c r="A155" s="5" t="s">
        <v>36</v>
      </c>
      <c r="B155" s="5">
        <v>47</v>
      </c>
      <c r="C155" s="5">
        <v>2081.75</v>
      </c>
      <c r="D155" s="5" t="s">
        <v>103</v>
      </c>
      <c r="E155" s="5" t="s">
        <v>104</v>
      </c>
      <c r="F155" s="5" t="s">
        <v>88</v>
      </c>
      <c r="G155" s="5" t="s">
        <v>90</v>
      </c>
      <c r="H155" s="5" t="s">
        <v>61</v>
      </c>
      <c r="I155" s="5" t="s">
        <v>36</v>
      </c>
      <c r="J155" s="5" t="s">
        <v>29</v>
      </c>
      <c r="K155" s="5" t="s">
        <v>48</v>
      </c>
      <c r="L155" s="5" t="s">
        <v>31</v>
      </c>
      <c r="M155" s="5" t="s">
        <v>32</v>
      </c>
      <c r="N155" s="5" t="s">
        <v>16</v>
      </c>
    </row>
    <row r="156" spans="1:14" ht="15.75" customHeight="1" x14ac:dyDescent="0.2">
      <c r="A156" s="5" t="s">
        <v>35</v>
      </c>
      <c r="B156" s="5">
        <v>47</v>
      </c>
      <c r="C156" s="5">
        <v>2081.75</v>
      </c>
      <c r="D156" s="5" t="s">
        <v>103</v>
      </c>
      <c r="E156" s="5" t="s">
        <v>104</v>
      </c>
      <c r="F156" s="5" t="s">
        <v>88</v>
      </c>
      <c r="G156" s="5" t="s">
        <v>91</v>
      </c>
      <c r="H156" s="5" t="s">
        <v>61</v>
      </c>
      <c r="I156" s="5" t="s">
        <v>36</v>
      </c>
      <c r="J156" s="5" t="s">
        <v>29</v>
      </c>
      <c r="K156" s="5" t="s">
        <v>48</v>
      </c>
      <c r="L156" s="5" t="s">
        <v>31</v>
      </c>
      <c r="M156" s="5" t="s">
        <v>32</v>
      </c>
      <c r="N156" s="5" t="s">
        <v>16</v>
      </c>
    </row>
    <row r="157" spans="1:14" ht="15.75" customHeight="1" x14ac:dyDescent="0.2">
      <c r="A157" s="5" t="s">
        <v>37</v>
      </c>
      <c r="B157" s="5">
        <v>5</v>
      </c>
      <c r="C157" s="5">
        <v>195.71</v>
      </c>
      <c r="D157" s="5" t="s">
        <v>103</v>
      </c>
      <c r="E157" s="5" t="s">
        <v>104</v>
      </c>
      <c r="F157" s="5" t="s">
        <v>88</v>
      </c>
      <c r="G157" s="5" t="s">
        <v>90</v>
      </c>
      <c r="H157" s="5" t="s">
        <v>61</v>
      </c>
      <c r="I157" s="5" t="s">
        <v>37</v>
      </c>
      <c r="J157" s="5" t="s">
        <v>29</v>
      </c>
      <c r="K157" s="5" t="s">
        <v>48</v>
      </c>
      <c r="L157" s="5" t="s">
        <v>31</v>
      </c>
      <c r="M157" s="5" t="s">
        <v>32</v>
      </c>
      <c r="N157" s="5" t="s">
        <v>16</v>
      </c>
    </row>
    <row r="158" spans="1:14" ht="15.75" customHeight="1" x14ac:dyDescent="0.2">
      <c r="A158" s="5" t="s">
        <v>35</v>
      </c>
      <c r="B158" s="5">
        <v>5</v>
      </c>
      <c r="C158" s="5">
        <v>195.71</v>
      </c>
      <c r="D158" s="5" t="s">
        <v>103</v>
      </c>
      <c r="E158" s="5" t="s">
        <v>104</v>
      </c>
      <c r="F158" s="5" t="s">
        <v>88</v>
      </c>
      <c r="G158" s="5" t="s">
        <v>91</v>
      </c>
      <c r="H158" s="5" t="s">
        <v>61</v>
      </c>
      <c r="I158" s="5" t="s">
        <v>37</v>
      </c>
      <c r="J158" s="5" t="s">
        <v>29</v>
      </c>
      <c r="K158" s="5" t="s">
        <v>48</v>
      </c>
      <c r="L158" s="5" t="s">
        <v>31</v>
      </c>
      <c r="M158" s="5" t="s">
        <v>32</v>
      </c>
      <c r="N158" s="5" t="s">
        <v>16</v>
      </c>
    </row>
    <row r="159" spans="1:14" ht="15.75" customHeight="1" x14ac:dyDescent="0.2">
      <c r="A159" s="5" t="s">
        <v>38</v>
      </c>
      <c r="B159" s="5">
        <v>2</v>
      </c>
      <c r="C159" s="5">
        <v>80</v>
      </c>
      <c r="D159" s="5" t="s">
        <v>103</v>
      </c>
      <c r="E159" s="5" t="s">
        <v>104</v>
      </c>
      <c r="F159" s="5" t="s">
        <v>88</v>
      </c>
      <c r="G159" s="5" t="s">
        <v>90</v>
      </c>
      <c r="H159" s="5" t="s">
        <v>61</v>
      </c>
      <c r="I159" s="5" t="s">
        <v>38</v>
      </c>
      <c r="J159" s="5" t="s">
        <v>29</v>
      </c>
      <c r="K159" s="5" t="s">
        <v>48</v>
      </c>
      <c r="L159" s="5" t="s">
        <v>31</v>
      </c>
      <c r="M159" s="5" t="s">
        <v>32</v>
      </c>
      <c r="N159" s="5" t="s">
        <v>16</v>
      </c>
    </row>
    <row r="160" spans="1:14" ht="15.75" customHeight="1" x14ac:dyDescent="0.2">
      <c r="A160" s="5" t="s">
        <v>35</v>
      </c>
      <c r="B160" s="5">
        <v>2</v>
      </c>
      <c r="C160" s="5">
        <v>80</v>
      </c>
      <c r="D160" s="5" t="s">
        <v>103</v>
      </c>
      <c r="E160" s="5" t="s">
        <v>104</v>
      </c>
      <c r="F160" s="5" t="s">
        <v>88</v>
      </c>
      <c r="G160" s="5" t="s">
        <v>91</v>
      </c>
      <c r="H160" s="5" t="s">
        <v>61</v>
      </c>
      <c r="I160" s="5" t="s">
        <v>38</v>
      </c>
      <c r="J160" s="5" t="s">
        <v>29</v>
      </c>
      <c r="K160" s="5" t="s">
        <v>48</v>
      </c>
      <c r="L160" s="5" t="s">
        <v>31</v>
      </c>
      <c r="M160" s="5" t="s">
        <v>32</v>
      </c>
      <c r="N160" s="5" t="s">
        <v>16</v>
      </c>
    </row>
    <row r="161" spans="1:14" ht="15.75" customHeight="1" x14ac:dyDescent="0.2">
      <c r="A161" s="5" t="s">
        <v>39</v>
      </c>
      <c r="B161" s="5">
        <v>2</v>
      </c>
      <c r="C161" s="5">
        <v>69.989999999999995</v>
      </c>
      <c r="D161" s="5" t="s">
        <v>103</v>
      </c>
      <c r="E161" s="5" t="s">
        <v>104</v>
      </c>
      <c r="F161" s="5" t="s">
        <v>88</v>
      </c>
      <c r="G161" s="5" t="s">
        <v>90</v>
      </c>
      <c r="H161" s="5" t="s">
        <v>61</v>
      </c>
      <c r="I161" s="5" t="s">
        <v>39</v>
      </c>
      <c r="J161" s="5" t="s">
        <v>29</v>
      </c>
      <c r="K161" s="5" t="s">
        <v>48</v>
      </c>
      <c r="L161" s="5" t="s">
        <v>31</v>
      </c>
      <c r="M161" s="5" t="s">
        <v>32</v>
      </c>
      <c r="N161" s="5" t="s">
        <v>16</v>
      </c>
    </row>
    <row r="162" spans="1:14" ht="15.75" customHeight="1" x14ac:dyDescent="0.2">
      <c r="A162" s="5" t="s">
        <v>35</v>
      </c>
      <c r="B162" s="5">
        <v>2</v>
      </c>
      <c r="C162" s="5">
        <v>69.989999999999995</v>
      </c>
      <c r="D162" s="5" t="s">
        <v>103</v>
      </c>
      <c r="E162" s="5" t="s">
        <v>104</v>
      </c>
      <c r="F162" s="5" t="s">
        <v>88</v>
      </c>
      <c r="G162" s="5" t="s">
        <v>91</v>
      </c>
      <c r="H162" s="5" t="s">
        <v>61</v>
      </c>
      <c r="I162" s="5" t="s">
        <v>39</v>
      </c>
      <c r="J162" s="5" t="s">
        <v>29</v>
      </c>
      <c r="K162" s="5" t="s">
        <v>48</v>
      </c>
      <c r="L162" s="5" t="s">
        <v>31</v>
      </c>
      <c r="M162" s="5" t="s">
        <v>32</v>
      </c>
      <c r="N162" s="5" t="s">
        <v>16</v>
      </c>
    </row>
    <row r="163" spans="1:14" ht="15.75" customHeight="1" x14ac:dyDescent="0.2">
      <c r="A163" s="5" t="s">
        <v>40</v>
      </c>
      <c r="B163" s="5">
        <v>1</v>
      </c>
      <c r="C163" s="5">
        <v>40</v>
      </c>
      <c r="D163" s="5" t="s">
        <v>103</v>
      </c>
      <c r="E163" s="5" t="s">
        <v>104</v>
      </c>
      <c r="F163" s="5" t="s">
        <v>88</v>
      </c>
      <c r="G163" s="5" t="s">
        <v>90</v>
      </c>
      <c r="H163" s="5" t="s">
        <v>61</v>
      </c>
      <c r="I163" s="5" t="s">
        <v>40</v>
      </c>
      <c r="J163" s="5" t="s">
        <v>29</v>
      </c>
      <c r="K163" s="5" t="s">
        <v>48</v>
      </c>
      <c r="L163" s="5" t="s">
        <v>31</v>
      </c>
      <c r="M163" s="5" t="s">
        <v>32</v>
      </c>
      <c r="N163" s="5" t="s">
        <v>16</v>
      </c>
    </row>
    <row r="164" spans="1:14" ht="15.75" customHeight="1" x14ac:dyDescent="0.2">
      <c r="A164" s="5" t="s">
        <v>35</v>
      </c>
      <c r="B164" s="5">
        <v>1</v>
      </c>
      <c r="C164" s="5">
        <v>40</v>
      </c>
      <c r="D164" s="5" t="s">
        <v>103</v>
      </c>
      <c r="E164" s="5" t="s">
        <v>104</v>
      </c>
      <c r="F164" s="5" t="s">
        <v>88</v>
      </c>
      <c r="G164" s="5" t="s">
        <v>91</v>
      </c>
      <c r="H164" s="5" t="s">
        <v>61</v>
      </c>
      <c r="I164" s="5" t="s">
        <v>40</v>
      </c>
      <c r="J164" s="5" t="s">
        <v>29</v>
      </c>
      <c r="K164" s="5" t="s">
        <v>48</v>
      </c>
      <c r="L164" s="5" t="s">
        <v>31</v>
      </c>
      <c r="M164" s="5" t="s">
        <v>32</v>
      </c>
      <c r="N164" s="5" t="s">
        <v>16</v>
      </c>
    </row>
    <row r="165" spans="1:14" ht="15.75" customHeight="1" x14ac:dyDescent="0.2">
      <c r="A165" s="5" t="s">
        <v>41</v>
      </c>
      <c r="B165" s="5">
        <v>0</v>
      </c>
      <c r="C165" s="5">
        <v>0</v>
      </c>
      <c r="D165" s="5" t="s">
        <v>103</v>
      </c>
      <c r="E165" s="5" t="s">
        <v>104</v>
      </c>
      <c r="F165" s="5" t="s">
        <v>88</v>
      </c>
      <c r="G165" s="5" t="s">
        <v>90</v>
      </c>
      <c r="H165" s="5" t="s">
        <v>61</v>
      </c>
      <c r="I165" s="5" t="s">
        <v>41</v>
      </c>
      <c r="J165" s="5" t="s">
        <v>29</v>
      </c>
      <c r="K165" s="5" t="s">
        <v>48</v>
      </c>
      <c r="L165" s="5" t="s">
        <v>31</v>
      </c>
      <c r="M165" s="5" t="s">
        <v>32</v>
      </c>
      <c r="N165" s="5" t="s">
        <v>16</v>
      </c>
    </row>
    <row r="166" spans="1:14" ht="15.75" customHeight="1" x14ac:dyDescent="0.2">
      <c r="A166" s="5" t="s">
        <v>35</v>
      </c>
      <c r="B166" s="5">
        <v>0</v>
      </c>
      <c r="C166" s="5">
        <v>0</v>
      </c>
      <c r="D166" s="5" t="s">
        <v>103</v>
      </c>
      <c r="E166" s="5" t="s">
        <v>104</v>
      </c>
      <c r="F166" s="5" t="s">
        <v>88</v>
      </c>
      <c r="G166" s="5" t="s">
        <v>91</v>
      </c>
      <c r="H166" s="5" t="s">
        <v>61</v>
      </c>
      <c r="I166" s="5" t="s">
        <v>41</v>
      </c>
      <c r="J166" s="5" t="s">
        <v>29</v>
      </c>
      <c r="K166" s="5" t="s">
        <v>48</v>
      </c>
      <c r="L166" s="5" t="s">
        <v>31</v>
      </c>
      <c r="M166" s="5" t="s">
        <v>32</v>
      </c>
      <c r="N166" s="5" t="s">
        <v>16</v>
      </c>
    </row>
    <row r="167" spans="1:14" ht="15.75" customHeight="1" x14ac:dyDescent="0.2">
      <c r="A167" s="5" t="s">
        <v>42</v>
      </c>
      <c r="B167" s="5">
        <v>13</v>
      </c>
      <c r="C167" s="5">
        <v>653.4</v>
      </c>
      <c r="D167" s="5" t="s">
        <v>103</v>
      </c>
      <c r="E167" s="5" t="s">
        <v>104</v>
      </c>
      <c r="F167" s="5" t="s">
        <v>88</v>
      </c>
      <c r="G167" s="5" t="s">
        <v>90</v>
      </c>
      <c r="H167" s="5" t="s">
        <v>61</v>
      </c>
      <c r="I167" s="5" t="s">
        <v>42</v>
      </c>
      <c r="J167" s="5" t="s">
        <v>29</v>
      </c>
      <c r="K167" s="5" t="s">
        <v>48</v>
      </c>
      <c r="L167" s="5" t="s">
        <v>31</v>
      </c>
      <c r="M167" s="5" t="s">
        <v>32</v>
      </c>
      <c r="N167" s="5" t="s">
        <v>16</v>
      </c>
    </row>
    <row r="168" spans="1:14" ht="15.75" customHeight="1" x14ac:dyDescent="0.2">
      <c r="A168" s="5" t="s">
        <v>35</v>
      </c>
      <c r="B168" s="5">
        <v>13</v>
      </c>
      <c r="C168" s="5">
        <v>653.4</v>
      </c>
      <c r="D168" s="5" t="s">
        <v>103</v>
      </c>
      <c r="E168" s="5" t="s">
        <v>104</v>
      </c>
      <c r="F168" s="5" t="s">
        <v>88</v>
      </c>
      <c r="G168" s="5" t="s">
        <v>91</v>
      </c>
      <c r="H168" s="5" t="s">
        <v>61</v>
      </c>
      <c r="I168" s="5" t="s">
        <v>42</v>
      </c>
      <c r="J168" s="5" t="s">
        <v>29</v>
      </c>
      <c r="K168" s="5" t="s">
        <v>48</v>
      </c>
      <c r="L168" s="5" t="s">
        <v>31</v>
      </c>
      <c r="M168" s="5" t="s">
        <v>32</v>
      </c>
      <c r="N168" s="5" t="s">
        <v>16</v>
      </c>
    </row>
    <row r="169" spans="1:14" ht="15.75" customHeight="1" x14ac:dyDescent="0.2">
      <c r="A169" s="5" t="s">
        <v>43</v>
      </c>
      <c r="B169" s="5">
        <v>1</v>
      </c>
      <c r="C169" s="5">
        <v>40</v>
      </c>
      <c r="D169" s="5" t="s">
        <v>103</v>
      </c>
      <c r="E169" s="5" t="s">
        <v>104</v>
      </c>
      <c r="F169" s="5" t="s">
        <v>88</v>
      </c>
      <c r="G169" s="5" t="s">
        <v>90</v>
      </c>
      <c r="H169" s="5" t="s">
        <v>61</v>
      </c>
      <c r="I169" s="5" t="s">
        <v>43</v>
      </c>
      <c r="J169" s="5" t="s">
        <v>29</v>
      </c>
      <c r="K169" s="5" t="s">
        <v>48</v>
      </c>
      <c r="L169" s="5" t="s">
        <v>31</v>
      </c>
      <c r="M169" s="5" t="s">
        <v>32</v>
      </c>
      <c r="N169" s="5" t="s">
        <v>16</v>
      </c>
    </row>
    <row r="170" spans="1:14" ht="15.75" customHeight="1" x14ac:dyDescent="0.2">
      <c r="A170" s="5" t="s">
        <v>35</v>
      </c>
      <c r="B170" s="5">
        <v>1</v>
      </c>
      <c r="C170" s="5">
        <v>40</v>
      </c>
      <c r="D170" s="5" t="s">
        <v>103</v>
      </c>
      <c r="E170" s="5" t="s">
        <v>104</v>
      </c>
      <c r="F170" s="5" t="s">
        <v>88</v>
      </c>
      <c r="G170" s="5" t="s">
        <v>91</v>
      </c>
      <c r="H170" s="5" t="s">
        <v>61</v>
      </c>
      <c r="I170" s="5" t="s">
        <v>43</v>
      </c>
      <c r="J170" s="5" t="s">
        <v>29</v>
      </c>
      <c r="K170" s="5" t="s">
        <v>48</v>
      </c>
      <c r="L170" s="5" t="s">
        <v>31</v>
      </c>
      <c r="M170" s="5" t="s">
        <v>32</v>
      </c>
      <c r="N170" s="5" t="s">
        <v>16</v>
      </c>
    </row>
    <row r="171" spans="1:14" ht="15.75" customHeight="1" x14ac:dyDescent="0.2">
      <c r="A171" s="5" t="s">
        <v>44</v>
      </c>
      <c r="B171" s="5">
        <v>0</v>
      </c>
      <c r="C171" s="5">
        <v>0</v>
      </c>
      <c r="D171" s="5" t="s">
        <v>103</v>
      </c>
      <c r="E171" s="5" t="s">
        <v>104</v>
      </c>
      <c r="F171" s="5" t="s">
        <v>88</v>
      </c>
      <c r="G171" s="5" t="s">
        <v>90</v>
      </c>
      <c r="H171" s="5" t="s">
        <v>61</v>
      </c>
      <c r="I171" s="5" t="s">
        <v>44</v>
      </c>
      <c r="J171" s="5" t="s">
        <v>29</v>
      </c>
      <c r="K171" s="5" t="s">
        <v>48</v>
      </c>
      <c r="L171" s="5" t="s">
        <v>31</v>
      </c>
      <c r="M171" s="5" t="s">
        <v>32</v>
      </c>
      <c r="N171" s="5" t="s">
        <v>16</v>
      </c>
    </row>
    <row r="172" spans="1:14" ht="15.75" customHeight="1" x14ac:dyDescent="0.2">
      <c r="A172" s="5" t="s">
        <v>35</v>
      </c>
      <c r="B172" s="5">
        <v>0</v>
      </c>
      <c r="C172" s="5">
        <v>0</v>
      </c>
      <c r="D172" s="5" t="s">
        <v>103</v>
      </c>
      <c r="E172" s="5" t="s">
        <v>104</v>
      </c>
      <c r="F172" s="5" t="s">
        <v>88</v>
      </c>
      <c r="G172" s="5" t="s">
        <v>91</v>
      </c>
      <c r="H172" s="5" t="s">
        <v>61</v>
      </c>
      <c r="I172" s="5" t="s">
        <v>44</v>
      </c>
      <c r="J172" s="5" t="s">
        <v>29</v>
      </c>
      <c r="K172" s="5" t="s">
        <v>48</v>
      </c>
      <c r="L172" s="5" t="s">
        <v>31</v>
      </c>
      <c r="M172" s="5" t="s">
        <v>32</v>
      </c>
      <c r="N172" s="5" t="s">
        <v>16</v>
      </c>
    </row>
    <row r="173" spans="1:14" ht="15.75" customHeight="1" x14ac:dyDescent="0.2">
      <c r="A173" s="5" t="s">
        <v>45</v>
      </c>
      <c r="B173" s="5">
        <v>0</v>
      </c>
      <c r="C173" s="5">
        <v>0</v>
      </c>
      <c r="D173" s="5" t="s">
        <v>103</v>
      </c>
      <c r="E173" s="5" t="s">
        <v>104</v>
      </c>
      <c r="F173" s="5" t="s">
        <v>88</v>
      </c>
      <c r="G173" s="5" t="s">
        <v>90</v>
      </c>
      <c r="H173" s="5" t="s">
        <v>61</v>
      </c>
      <c r="I173" s="5" t="s">
        <v>45</v>
      </c>
      <c r="J173" s="5" t="s">
        <v>29</v>
      </c>
      <c r="K173" s="5" t="s">
        <v>48</v>
      </c>
      <c r="L173" s="5" t="s">
        <v>31</v>
      </c>
      <c r="M173" s="5" t="s">
        <v>32</v>
      </c>
      <c r="N173" s="5" t="s">
        <v>16</v>
      </c>
    </row>
    <row r="174" spans="1:14" ht="15.75" customHeight="1" x14ac:dyDescent="0.2">
      <c r="A174" s="5" t="s">
        <v>35</v>
      </c>
      <c r="B174" s="5">
        <v>0</v>
      </c>
      <c r="C174" s="5">
        <v>0</v>
      </c>
      <c r="D174" s="5" t="s">
        <v>103</v>
      </c>
      <c r="E174" s="5" t="s">
        <v>104</v>
      </c>
      <c r="F174" s="5" t="s">
        <v>88</v>
      </c>
      <c r="G174" s="5" t="s">
        <v>91</v>
      </c>
      <c r="H174" s="5" t="s">
        <v>61</v>
      </c>
      <c r="I174" s="5" t="s">
        <v>45</v>
      </c>
      <c r="J174" s="5" t="s">
        <v>29</v>
      </c>
      <c r="K174" s="5" t="s">
        <v>48</v>
      </c>
      <c r="L174" s="5" t="s">
        <v>31</v>
      </c>
      <c r="M174" s="5" t="s">
        <v>32</v>
      </c>
      <c r="N174" s="5" t="s">
        <v>16</v>
      </c>
    </row>
    <row r="175" spans="1:14" ht="15.75" customHeight="1" x14ac:dyDescent="0.2">
      <c r="A175" s="5" t="s">
        <v>46</v>
      </c>
      <c r="B175" s="5">
        <v>0</v>
      </c>
      <c r="C175" s="5">
        <v>0</v>
      </c>
      <c r="D175" s="5" t="s">
        <v>103</v>
      </c>
      <c r="E175" s="5" t="s">
        <v>104</v>
      </c>
      <c r="F175" s="5" t="s">
        <v>88</v>
      </c>
      <c r="G175" s="5" t="s">
        <v>90</v>
      </c>
      <c r="H175" s="5" t="s">
        <v>61</v>
      </c>
      <c r="I175" s="5" t="s">
        <v>46</v>
      </c>
      <c r="J175" s="5" t="s">
        <v>29</v>
      </c>
      <c r="K175" s="5" t="s">
        <v>48</v>
      </c>
      <c r="L175" s="5" t="s">
        <v>31</v>
      </c>
      <c r="M175" s="5" t="s">
        <v>32</v>
      </c>
      <c r="N175" s="5" t="s">
        <v>16</v>
      </c>
    </row>
    <row r="176" spans="1:14" ht="15.75" customHeight="1" x14ac:dyDescent="0.2">
      <c r="A176" s="5" t="s">
        <v>35</v>
      </c>
      <c r="B176" s="5">
        <v>0</v>
      </c>
      <c r="C176" s="5">
        <v>0</v>
      </c>
      <c r="D176" s="5" t="s">
        <v>103</v>
      </c>
      <c r="E176" s="5" t="s">
        <v>104</v>
      </c>
      <c r="F176" s="5" t="s">
        <v>88</v>
      </c>
      <c r="G176" s="5" t="s">
        <v>91</v>
      </c>
      <c r="H176" s="5" t="s">
        <v>61</v>
      </c>
      <c r="I176" s="5" t="s">
        <v>46</v>
      </c>
      <c r="J176" s="5" t="s">
        <v>29</v>
      </c>
      <c r="K176" s="5" t="s">
        <v>48</v>
      </c>
      <c r="L176" s="5" t="s">
        <v>31</v>
      </c>
      <c r="M176" s="5" t="s">
        <v>32</v>
      </c>
      <c r="N176" s="5" t="s">
        <v>16</v>
      </c>
    </row>
    <row r="177" spans="1:14" ht="15.75" customHeight="1" x14ac:dyDescent="0.2">
      <c r="A177" s="5" t="s">
        <v>87</v>
      </c>
      <c r="B177" s="5">
        <v>48</v>
      </c>
      <c r="C177" s="5">
        <v>2199.04</v>
      </c>
      <c r="D177" s="5" t="s">
        <v>105</v>
      </c>
      <c r="E177" s="5" t="s">
        <v>104</v>
      </c>
      <c r="F177" s="5" t="s">
        <v>88</v>
      </c>
      <c r="G177" s="5" t="s">
        <v>89</v>
      </c>
      <c r="H177" s="5" t="s">
        <v>60</v>
      </c>
      <c r="I177" s="5" t="s">
        <v>87</v>
      </c>
      <c r="J177" s="5" t="s">
        <v>29</v>
      </c>
      <c r="K177" s="5" t="s">
        <v>48</v>
      </c>
      <c r="L177" s="5" t="s">
        <v>31</v>
      </c>
      <c r="M177" s="5" t="s">
        <v>32</v>
      </c>
      <c r="N177" s="5" t="s">
        <v>16</v>
      </c>
    </row>
    <row r="178" spans="1:14" ht="15.75" customHeight="1" x14ac:dyDescent="0.2">
      <c r="A178" s="5" t="s">
        <v>34</v>
      </c>
      <c r="B178" s="5">
        <v>6</v>
      </c>
      <c r="C178" s="5">
        <v>239.72</v>
      </c>
      <c r="D178" s="5" t="s">
        <v>105</v>
      </c>
      <c r="E178" s="5" t="s">
        <v>104</v>
      </c>
      <c r="F178" s="5" t="s">
        <v>88</v>
      </c>
      <c r="G178" s="5" t="s">
        <v>90</v>
      </c>
      <c r="H178" s="5" t="s">
        <v>60</v>
      </c>
      <c r="I178" s="5" t="s">
        <v>34</v>
      </c>
      <c r="J178" s="5" t="s">
        <v>29</v>
      </c>
      <c r="K178" s="5" t="s">
        <v>48</v>
      </c>
      <c r="L178" s="5" t="s">
        <v>31</v>
      </c>
      <c r="M178" s="5" t="s">
        <v>32</v>
      </c>
      <c r="N178" s="5" t="s">
        <v>16</v>
      </c>
    </row>
    <row r="179" spans="1:14" ht="15.75" customHeight="1" x14ac:dyDescent="0.2">
      <c r="A179" s="5" t="s">
        <v>35</v>
      </c>
      <c r="B179" s="5">
        <v>6</v>
      </c>
      <c r="C179" s="5">
        <v>239.72</v>
      </c>
      <c r="D179" s="5" t="s">
        <v>105</v>
      </c>
      <c r="E179" s="5" t="s">
        <v>104</v>
      </c>
      <c r="F179" s="5" t="s">
        <v>88</v>
      </c>
      <c r="G179" s="5" t="s">
        <v>91</v>
      </c>
      <c r="H179" s="5" t="s">
        <v>60</v>
      </c>
      <c r="I179" s="5" t="s">
        <v>34</v>
      </c>
      <c r="J179" s="5" t="s">
        <v>29</v>
      </c>
      <c r="K179" s="5" t="s">
        <v>48</v>
      </c>
      <c r="L179" s="5" t="s">
        <v>31</v>
      </c>
      <c r="M179" s="5" t="s">
        <v>32</v>
      </c>
      <c r="N179" s="5" t="s">
        <v>16</v>
      </c>
    </row>
    <row r="180" spans="1:14" ht="15.75" customHeight="1" x14ac:dyDescent="0.2">
      <c r="A180" s="5" t="s">
        <v>36</v>
      </c>
      <c r="B180" s="5">
        <v>19</v>
      </c>
      <c r="C180" s="5">
        <v>826.76</v>
      </c>
      <c r="D180" s="5" t="s">
        <v>105</v>
      </c>
      <c r="E180" s="5" t="s">
        <v>104</v>
      </c>
      <c r="F180" s="5" t="s">
        <v>88</v>
      </c>
      <c r="G180" s="5" t="s">
        <v>90</v>
      </c>
      <c r="H180" s="5" t="s">
        <v>60</v>
      </c>
      <c r="I180" s="5" t="s">
        <v>36</v>
      </c>
      <c r="J180" s="5" t="s">
        <v>29</v>
      </c>
      <c r="K180" s="5" t="s">
        <v>48</v>
      </c>
      <c r="L180" s="5" t="s">
        <v>31</v>
      </c>
      <c r="M180" s="5" t="s">
        <v>32</v>
      </c>
      <c r="N180" s="5" t="s">
        <v>16</v>
      </c>
    </row>
    <row r="181" spans="1:14" ht="15.75" customHeight="1" x14ac:dyDescent="0.2">
      <c r="A181" s="5" t="s">
        <v>35</v>
      </c>
      <c r="B181" s="5">
        <v>19</v>
      </c>
      <c r="C181" s="5">
        <v>826.76</v>
      </c>
      <c r="D181" s="5" t="s">
        <v>105</v>
      </c>
      <c r="E181" s="5" t="s">
        <v>104</v>
      </c>
      <c r="F181" s="5" t="s">
        <v>88</v>
      </c>
      <c r="G181" s="5" t="s">
        <v>91</v>
      </c>
      <c r="H181" s="5" t="s">
        <v>60</v>
      </c>
      <c r="I181" s="5" t="s">
        <v>36</v>
      </c>
      <c r="J181" s="5" t="s">
        <v>29</v>
      </c>
      <c r="K181" s="5" t="s">
        <v>48</v>
      </c>
      <c r="L181" s="5" t="s">
        <v>31</v>
      </c>
      <c r="M181" s="5" t="s">
        <v>32</v>
      </c>
      <c r="N181" s="5" t="s">
        <v>16</v>
      </c>
    </row>
    <row r="182" spans="1:14" ht="15.75" customHeight="1" x14ac:dyDescent="0.2">
      <c r="A182" s="5" t="s">
        <v>37</v>
      </c>
      <c r="B182" s="5">
        <v>3</v>
      </c>
      <c r="C182" s="5">
        <v>187.48</v>
      </c>
      <c r="D182" s="5" t="s">
        <v>105</v>
      </c>
      <c r="E182" s="5" t="s">
        <v>104</v>
      </c>
      <c r="F182" s="5" t="s">
        <v>88</v>
      </c>
      <c r="G182" s="5" t="s">
        <v>90</v>
      </c>
      <c r="H182" s="5" t="s">
        <v>60</v>
      </c>
      <c r="I182" s="5" t="s">
        <v>37</v>
      </c>
      <c r="J182" s="5" t="s">
        <v>29</v>
      </c>
      <c r="K182" s="5" t="s">
        <v>48</v>
      </c>
      <c r="L182" s="5" t="s">
        <v>31</v>
      </c>
      <c r="M182" s="5" t="s">
        <v>32</v>
      </c>
      <c r="N182" s="5" t="s">
        <v>16</v>
      </c>
    </row>
    <row r="183" spans="1:14" ht="15.75" customHeight="1" x14ac:dyDescent="0.2">
      <c r="A183" s="5" t="s">
        <v>35</v>
      </c>
      <c r="B183" s="5">
        <v>3</v>
      </c>
      <c r="C183" s="5">
        <v>187.48</v>
      </c>
      <c r="D183" s="5" t="s">
        <v>105</v>
      </c>
      <c r="E183" s="5" t="s">
        <v>104</v>
      </c>
      <c r="F183" s="5" t="s">
        <v>88</v>
      </c>
      <c r="G183" s="5" t="s">
        <v>91</v>
      </c>
      <c r="H183" s="5" t="s">
        <v>60</v>
      </c>
      <c r="I183" s="5" t="s">
        <v>37</v>
      </c>
      <c r="J183" s="5" t="s">
        <v>29</v>
      </c>
      <c r="K183" s="5" t="s">
        <v>48</v>
      </c>
      <c r="L183" s="5" t="s">
        <v>31</v>
      </c>
      <c r="M183" s="5" t="s">
        <v>32</v>
      </c>
      <c r="N183" s="5" t="s">
        <v>16</v>
      </c>
    </row>
    <row r="184" spans="1:14" ht="15.75" customHeight="1" x14ac:dyDescent="0.2">
      <c r="A184" s="5" t="s">
        <v>38</v>
      </c>
      <c r="B184" s="5">
        <v>4</v>
      </c>
      <c r="C184" s="5">
        <v>200.4</v>
      </c>
      <c r="D184" s="5" t="s">
        <v>105</v>
      </c>
      <c r="E184" s="5" t="s">
        <v>104</v>
      </c>
      <c r="F184" s="5" t="s">
        <v>88</v>
      </c>
      <c r="G184" s="5" t="s">
        <v>90</v>
      </c>
      <c r="H184" s="5" t="s">
        <v>60</v>
      </c>
      <c r="I184" s="5" t="s">
        <v>38</v>
      </c>
      <c r="J184" s="5" t="s">
        <v>29</v>
      </c>
      <c r="K184" s="5" t="s">
        <v>48</v>
      </c>
      <c r="L184" s="5" t="s">
        <v>31</v>
      </c>
      <c r="M184" s="5" t="s">
        <v>32</v>
      </c>
      <c r="N184" s="5" t="s">
        <v>16</v>
      </c>
    </row>
    <row r="185" spans="1:14" ht="15.75" customHeight="1" x14ac:dyDescent="0.2">
      <c r="A185" s="5" t="s">
        <v>35</v>
      </c>
      <c r="B185" s="5">
        <v>4</v>
      </c>
      <c r="C185" s="5">
        <v>200.4</v>
      </c>
      <c r="D185" s="5" t="s">
        <v>105</v>
      </c>
      <c r="E185" s="5" t="s">
        <v>104</v>
      </c>
      <c r="F185" s="5" t="s">
        <v>88</v>
      </c>
      <c r="G185" s="5" t="s">
        <v>91</v>
      </c>
      <c r="H185" s="5" t="s">
        <v>60</v>
      </c>
      <c r="I185" s="5" t="s">
        <v>38</v>
      </c>
      <c r="J185" s="5" t="s">
        <v>29</v>
      </c>
      <c r="K185" s="5" t="s">
        <v>48</v>
      </c>
      <c r="L185" s="5" t="s">
        <v>31</v>
      </c>
      <c r="M185" s="5" t="s">
        <v>32</v>
      </c>
      <c r="N185" s="5" t="s">
        <v>16</v>
      </c>
    </row>
    <row r="186" spans="1:14" ht="15.75" customHeight="1" x14ac:dyDescent="0.2">
      <c r="A186" s="5" t="s">
        <v>39</v>
      </c>
      <c r="B186" s="5">
        <v>2</v>
      </c>
      <c r="C186" s="5">
        <v>76</v>
      </c>
      <c r="D186" s="5" t="s">
        <v>105</v>
      </c>
      <c r="E186" s="5" t="s">
        <v>104</v>
      </c>
      <c r="F186" s="5" t="s">
        <v>88</v>
      </c>
      <c r="G186" s="5" t="s">
        <v>90</v>
      </c>
      <c r="H186" s="5" t="s">
        <v>60</v>
      </c>
      <c r="I186" s="5" t="s">
        <v>39</v>
      </c>
      <c r="J186" s="5" t="s">
        <v>29</v>
      </c>
      <c r="K186" s="5" t="s">
        <v>48</v>
      </c>
      <c r="L186" s="5" t="s">
        <v>31</v>
      </c>
      <c r="M186" s="5" t="s">
        <v>32</v>
      </c>
      <c r="N186" s="5" t="s">
        <v>16</v>
      </c>
    </row>
    <row r="187" spans="1:14" ht="15.75" customHeight="1" x14ac:dyDescent="0.2">
      <c r="A187" s="5" t="s">
        <v>35</v>
      </c>
      <c r="B187" s="5">
        <v>2</v>
      </c>
      <c r="C187" s="5">
        <v>76</v>
      </c>
      <c r="D187" s="5" t="s">
        <v>105</v>
      </c>
      <c r="E187" s="5" t="s">
        <v>104</v>
      </c>
      <c r="F187" s="5" t="s">
        <v>88</v>
      </c>
      <c r="G187" s="5" t="s">
        <v>91</v>
      </c>
      <c r="H187" s="5" t="s">
        <v>60</v>
      </c>
      <c r="I187" s="5" t="s">
        <v>39</v>
      </c>
      <c r="J187" s="5" t="s">
        <v>29</v>
      </c>
      <c r="K187" s="5" t="s">
        <v>48</v>
      </c>
      <c r="L187" s="5" t="s">
        <v>31</v>
      </c>
      <c r="M187" s="5" t="s">
        <v>32</v>
      </c>
      <c r="N187" s="5" t="s">
        <v>16</v>
      </c>
    </row>
    <row r="188" spans="1:14" ht="15.75" customHeight="1" x14ac:dyDescent="0.2">
      <c r="A188" s="5" t="s">
        <v>40</v>
      </c>
      <c r="B188" s="5">
        <v>0</v>
      </c>
      <c r="C188" s="5">
        <v>0</v>
      </c>
      <c r="D188" s="5" t="s">
        <v>105</v>
      </c>
      <c r="E188" s="5" t="s">
        <v>104</v>
      </c>
      <c r="F188" s="5" t="s">
        <v>88</v>
      </c>
      <c r="G188" s="5" t="s">
        <v>90</v>
      </c>
      <c r="H188" s="5" t="s">
        <v>60</v>
      </c>
      <c r="I188" s="5" t="s">
        <v>40</v>
      </c>
      <c r="J188" s="5" t="s">
        <v>29</v>
      </c>
      <c r="K188" s="5" t="s">
        <v>48</v>
      </c>
      <c r="L188" s="5" t="s">
        <v>31</v>
      </c>
      <c r="M188" s="5" t="s">
        <v>32</v>
      </c>
      <c r="N188" s="5" t="s">
        <v>16</v>
      </c>
    </row>
    <row r="189" spans="1:14" ht="15.75" customHeight="1" x14ac:dyDescent="0.2">
      <c r="A189" s="5" t="s">
        <v>35</v>
      </c>
      <c r="B189" s="5">
        <v>0</v>
      </c>
      <c r="C189" s="5">
        <v>0</v>
      </c>
      <c r="D189" s="5" t="s">
        <v>105</v>
      </c>
      <c r="E189" s="5" t="s">
        <v>104</v>
      </c>
      <c r="F189" s="5" t="s">
        <v>88</v>
      </c>
      <c r="G189" s="5" t="s">
        <v>91</v>
      </c>
      <c r="H189" s="5" t="s">
        <v>60</v>
      </c>
      <c r="I189" s="5" t="s">
        <v>40</v>
      </c>
      <c r="J189" s="5" t="s">
        <v>29</v>
      </c>
      <c r="K189" s="5" t="s">
        <v>48</v>
      </c>
      <c r="L189" s="5" t="s">
        <v>31</v>
      </c>
      <c r="M189" s="5" t="s">
        <v>32</v>
      </c>
      <c r="N189" s="5" t="s">
        <v>16</v>
      </c>
    </row>
    <row r="190" spans="1:14" ht="15.75" customHeight="1" x14ac:dyDescent="0.2">
      <c r="A190" s="5" t="s">
        <v>41</v>
      </c>
      <c r="B190" s="5">
        <v>0</v>
      </c>
      <c r="C190" s="5">
        <v>0</v>
      </c>
      <c r="D190" s="5" t="s">
        <v>105</v>
      </c>
      <c r="E190" s="5" t="s">
        <v>104</v>
      </c>
      <c r="F190" s="5" t="s">
        <v>88</v>
      </c>
      <c r="G190" s="5" t="s">
        <v>90</v>
      </c>
      <c r="H190" s="5" t="s">
        <v>60</v>
      </c>
      <c r="I190" s="5" t="s">
        <v>41</v>
      </c>
      <c r="J190" s="5" t="s">
        <v>29</v>
      </c>
      <c r="K190" s="5" t="s">
        <v>48</v>
      </c>
      <c r="L190" s="5" t="s">
        <v>31</v>
      </c>
      <c r="M190" s="5" t="s">
        <v>32</v>
      </c>
      <c r="N190" s="5" t="s">
        <v>16</v>
      </c>
    </row>
    <row r="191" spans="1:14" ht="15.75" customHeight="1" x14ac:dyDescent="0.2">
      <c r="A191" s="5" t="s">
        <v>35</v>
      </c>
      <c r="B191" s="5">
        <v>0</v>
      </c>
      <c r="C191" s="5">
        <v>0</v>
      </c>
      <c r="D191" s="5" t="s">
        <v>105</v>
      </c>
      <c r="E191" s="5" t="s">
        <v>104</v>
      </c>
      <c r="F191" s="5" t="s">
        <v>88</v>
      </c>
      <c r="G191" s="5" t="s">
        <v>91</v>
      </c>
      <c r="H191" s="5" t="s">
        <v>60</v>
      </c>
      <c r="I191" s="5" t="s">
        <v>41</v>
      </c>
      <c r="J191" s="5" t="s">
        <v>29</v>
      </c>
      <c r="K191" s="5" t="s">
        <v>48</v>
      </c>
      <c r="L191" s="5" t="s">
        <v>31</v>
      </c>
      <c r="M191" s="5" t="s">
        <v>32</v>
      </c>
      <c r="N191" s="5" t="s">
        <v>16</v>
      </c>
    </row>
    <row r="192" spans="1:14" ht="15.75" customHeight="1" x14ac:dyDescent="0.2">
      <c r="A192" s="5" t="s">
        <v>42</v>
      </c>
      <c r="B192" s="5">
        <v>14</v>
      </c>
      <c r="C192" s="5">
        <v>668.68</v>
      </c>
      <c r="D192" s="5" t="s">
        <v>105</v>
      </c>
      <c r="E192" s="5" t="s">
        <v>104</v>
      </c>
      <c r="F192" s="5" t="s">
        <v>88</v>
      </c>
      <c r="G192" s="5" t="s">
        <v>90</v>
      </c>
      <c r="H192" s="5" t="s">
        <v>60</v>
      </c>
      <c r="I192" s="5" t="s">
        <v>42</v>
      </c>
      <c r="J192" s="5" t="s">
        <v>29</v>
      </c>
      <c r="K192" s="5" t="s">
        <v>48</v>
      </c>
      <c r="L192" s="5" t="s">
        <v>31</v>
      </c>
      <c r="M192" s="5" t="s">
        <v>32</v>
      </c>
      <c r="N192" s="5" t="s">
        <v>16</v>
      </c>
    </row>
    <row r="193" spans="1:14" ht="15.75" customHeight="1" x14ac:dyDescent="0.2">
      <c r="A193" s="5" t="s">
        <v>35</v>
      </c>
      <c r="B193" s="5">
        <v>14</v>
      </c>
      <c r="C193" s="5">
        <v>668.68</v>
      </c>
      <c r="D193" s="5" t="s">
        <v>105</v>
      </c>
      <c r="E193" s="5" t="s">
        <v>104</v>
      </c>
      <c r="F193" s="5" t="s">
        <v>88</v>
      </c>
      <c r="G193" s="5" t="s">
        <v>91</v>
      </c>
      <c r="H193" s="5" t="s">
        <v>60</v>
      </c>
      <c r="I193" s="5" t="s">
        <v>42</v>
      </c>
      <c r="J193" s="5" t="s">
        <v>29</v>
      </c>
      <c r="K193" s="5" t="s">
        <v>48</v>
      </c>
      <c r="L193" s="5" t="s">
        <v>31</v>
      </c>
      <c r="M193" s="5" t="s">
        <v>32</v>
      </c>
      <c r="N193" s="5" t="s">
        <v>16</v>
      </c>
    </row>
    <row r="194" spans="1:14" ht="15.75" customHeight="1" x14ac:dyDescent="0.2">
      <c r="A194" s="5" t="s">
        <v>43</v>
      </c>
      <c r="B194" s="5">
        <v>0</v>
      </c>
      <c r="C194" s="5">
        <v>0</v>
      </c>
      <c r="D194" s="5" t="s">
        <v>105</v>
      </c>
      <c r="E194" s="5" t="s">
        <v>104</v>
      </c>
      <c r="F194" s="5" t="s">
        <v>88</v>
      </c>
      <c r="G194" s="5" t="s">
        <v>90</v>
      </c>
      <c r="H194" s="5" t="s">
        <v>60</v>
      </c>
      <c r="I194" s="5" t="s">
        <v>43</v>
      </c>
      <c r="J194" s="5" t="s">
        <v>29</v>
      </c>
      <c r="K194" s="5" t="s">
        <v>48</v>
      </c>
      <c r="L194" s="5" t="s">
        <v>31</v>
      </c>
      <c r="M194" s="5" t="s">
        <v>32</v>
      </c>
      <c r="N194" s="5" t="s">
        <v>16</v>
      </c>
    </row>
    <row r="195" spans="1:14" ht="15.75" customHeight="1" x14ac:dyDescent="0.2">
      <c r="A195" s="5" t="s">
        <v>35</v>
      </c>
      <c r="B195" s="5">
        <v>0</v>
      </c>
      <c r="C195" s="5">
        <v>0</v>
      </c>
      <c r="D195" s="5" t="s">
        <v>105</v>
      </c>
      <c r="E195" s="5" t="s">
        <v>104</v>
      </c>
      <c r="F195" s="5" t="s">
        <v>88</v>
      </c>
      <c r="G195" s="5" t="s">
        <v>91</v>
      </c>
      <c r="H195" s="5" t="s">
        <v>60</v>
      </c>
      <c r="I195" s="5" t="s">
        <v>43</v>
      </c>
      <c r="J195" s="5" t="s">
        <v>29</v>
      </c>
      <c r="K195" s="5" t="s">
        <v>48</v>
      </c>
      <c r="L195" s="5" t="s">
        <v>31</v>
      </c>
      <c r="M195" s="5" t="s">
        <v>32</v>
      </c>
      <c r="N195" s="5" t="s">
        <v>16</v>
      </c>
    </row>
    <row r="196" spans="1:14" ht="15.75" customHeight="1" x14ac:dyDescent="0.2">
      <c r="A196" s="5" t="s">
        <v>44</v>
      </c>
      <c r="B196" s="5">
        <v>0</v>
      </c>
      <c r="C196" s="5">
        <v>0</v>
      </c>
      <c r="D196" s="5" t="s">
        <v>105</v>
      </c>
      <c r="E196" s="5" t="s">
        <v>104</v>
      </c>
      <c r="F196" s="5" t="s">
        <v>88</v>
      </c>
      <c r="G196" s="5" t="s">
        <v>90</v>
      </c>
      <c r="H196" s="5" t="s">
        <v>60</v>
      </c>
      <c r="I196" s="5" t="s">
        <v>44</v>
      </c>
      <c r="J196" s="5" t="s">
        <v>29</v>
      </c>
      <c r="K196" s="5" t="s">
        <v>48</v>
      </c>
      <c r="L196" s="5" t="s">
        <v>31</v>
      </c>
      <c r="M196" s="5" t="s">
        <v>32</v>
      </c>
      <c r="N196" s="5" t="s">
        <v>16</v>
      </c>
    </row>
    <row r="197" spans="1:14" ht="15.75" customHeight="1" x14ac:dyDescent="0.2">
      <c r="A197" s="5" t="s">
        <v>35</v>
      </c>
      <c r="B197" s="5">
        <v>0</v>
      </c>
      <c r="C197" s="5">
        <v>0</v>
      </c>
      <c r="D197" s="5" t="s">
        <v>105</v>
      </c>
      <c r="E197" s="5" t="s">
        <v>104</v>
      </c>
      <c r="F197" s="5" t="s">
        <v>88</v>
      </c>
      <c r="G197" s="5" t="s">
        <v>91</v>
      </c>
      <c r="H197" s="5" t="s">
        <v>60</v>
      </c>
      <c r="I197" s="5" t="s">
        <v>44</v>
      </c>
      <c r="J197" s="5" t="s">
        <v>29</v>
      </c>
      <c r="K197" s="5" t="s">
        <v>48</v>
      </c>
      <c r="L197" s="5" t="s">
        <v>31</v>
      </c>
      <c r="M197" s="5" t="s">
        <v>32</v>
      </c>
      <c r="N197" s="5" t="s">
        <v>16</v>
      </c>
    </row>
    <row r="198" spans="1:14" ht="15.75" customHeight="1" x14ac:dyDescent="0.2">
      <c r="A198" s="5" t="s">
        <v>45</v>
      </c>
      <c r="B198" s="5">
        <v>0</v>
      </c>
      <c r="C198" s="5">
        <v>0</v>
      </c>
      <c r="D198" s="5" t="s">
        <v>105</v>
      </c>
      <c r="E198" s="5" t="s">
        <v>104</v>
      </c>
      <c r="F198" s="5" t="s">
        <v>88</v>
      </c>
      <c r="G198" s="5" t="s">
        <v>90</v>
      </c>
      <c r="H198" s="5" t="s">
        <v>60</v>
      </c>
      <c r="I198" s="5" t="s">
        <v>45</v>
      </c>
      <c r="J198" s="5" t="s">
        <v>29</v>
      </c>
      <c r="K198" s="5" t="s">
        <v>48</v>
      </c>
      <c r="L198" s="5" t="s">
        <v>31</v>
      </c>
      <c r="M198" s="5" t="s">
        <v>32</v>
      </c>
      <c r="N198" s="5" t="s">
        <v>16</v>
      </c>
    </row>
    <row r="199" spans="1:14" ht="15.75" customHeight="1" x14ac:dyDescent="0.2">
      <c r="A199" s="5" t="s">
        <v>35</v>
      </c>
      <c r="B199" s="5">
        <v>0</v>
      </c>
      <c r="C199" s="5">
        <v>0</v>
      </c>
      <c r="D199" s="5" t="s">
        <v>105</v>
      </c>
      <c r="E199" s="5" t="s">
        <v>104</v>
      </c>
      <c r="F199" s="5" t="s">
        <v>88</v>
      </c>
      <c r="G199" s="5" t="s">
        <v>91</v>
      </c>
      <c r="H199" s="5" t="s">
        <v>60</v>
      </c>
      <c r="I199" s="5" t="s">
        <v>45</v>
      </c>
      <c r="J199" s="5" t="s">
        <v>29</v>
      </c>
      <c r="K199" s="5" t="s">
        <v>48</v>
      </c>
      <c r="L199" s="5" t="s">
        <v>31</v>
      </c>
      <c r="M199" s="5" t="s">
        <v>32</v>
      </c>
      <c r="N199" s="5" t="s">
        <v>16</v>
      </c>
    </row>
    <row r="200" spans="1:14" ht="15.75" customHeight="1" x14ac:dyDescent="0.2">
      <c r="A200" s="5" t="s">
        <v>46</v>
      </c>
      <c r="B200" s="5">
        <v>0</v>
      </c>
      <c r="C200" s="5">
        <v>0</v>
      </c>
      <c r="D200" s="5" t="s">
        <v>105</v>
      </c>
      <c r="E200" s="5" t="s">
        <v>104</v>
      </c>
      <c r="F200" s="5" t="s">
        <v>88</v>
      </c>
      <c r="G200" s="5" t="s">
        <v>90</v>
      </c>
      <c r="H200" s="5" t="s">
        <v>60</v>
      </c>
      <c r="I200" s="5" t="s">
        <v>46</v>
      </c>
      <c r="J200" s="5" t="s">
        <v>29</v>
      </c>
      <c r="K200" s="5" t="s">
        <v>48</v>
      </c>
      <c r="L200" s="5" t="s">
        <v>31</v>
      </c>
      <c r="M200" s="5" t="s">
        <v>32</v>
      </c>
      <c r="N200" s="5" t="s">
        <v>16</v>
      </c>
    </row>
    <row r="201" spans="1:14" ht="15.75" customHeight="1" x14ac:dyDescent="0.2">
      <c r="A201" s="5" t="s">
        <v>35</v>
      </c>
      <c r="B201" s="5">
        <v>0</v>
      </c>
      <c r="C201" s="5">
        <v>0</v>
      </c>
      <c r="D201" s="5" t="s">
        <v>105</v>
      </c>
      <c r="E201" s="5" t="s">
        <v>104</v>
      </c>
      <c r="F201" s="5" t="s">
        <v>88</v>
      </c>
      <c r="G201" s="5" t="s">
        <v>91</v>
      </c>
      <c r="H201" s="5" t="s">
        <v>60</v>
      </c>
      <c r="I201" s="5" t="s">
        <v>46</v>
      </c>
      <c r="J201" s="5" t="s">
        <v>29</v>
      </c>
      <c r="K201" s="5" t="s">
        <v>48</v>
      </c>
      <c r="L201" s="5" t="s">
        <v>31</v>
      </c>
      <c r="M201" s="5" t="s">
        <v>32</v>
      </c>
      <c r="N201" s="5" t="s">
        <v>16</v>
      </c>
    </row>
    <row r="202" spans="1:14" ht="15.75" customHeight="1" x14ac:dyDescent="0.2">
      <c r="A202" s="5" t="s">
        <v>87</v>
      </c>
      <c r="B202" s="5">
        <v>1</v>
      </c>
      <c r="C202" s="5">
        <v>54</v>
      </c>
      <c r="D202" s="5" t="s">
        <v>97</v>
      </c>
      <c r="E202" s="5" t="s">
        <v>93</v>
      </c>
      <c r="F202" s="5" t="s">
        <v>92</v>
      </c>
      <c r="G202" s="5" t="s">
        <v>89</v>
      </c>
      <c r="H202" s="5" t="s">
        <v>60</v>
      </c>
      <c r="I202" s="5" t="s">
        <v>87</v>
      </c>
      <c r="J202" s="5" t="s">
        <v>29</v>
      </c>
      <c r="K202" s="5" t="s">
        <v>48</v>
      </c>
      <c r="L202" s="5" t="s">
        <v>31</v>
      </c>
      <c r="M202" s="5" t="s">
        <v>32</v>
      </c>
      <c r="N202" s="5" t="s">
        <v>16</v>
      </c>
    </row>
    <row r="203" spans="1:14" ht="15.75" customHeight="1" x14ac:dyDescent="0.2">
      <c r="A203" s="5" t="s">
        <v>34</v>
      </c>
      <c r="B203" s="5">
        <v>0</v>
      </c>
      <c r="C203" s="5">
        <v>0</v>
      </c>
      <c r="D203" s="5" t="s">
        <v>97</v>
      </c>
      <c r="E203" s="5" t="s">
        <v>93</v>
      </c>
      <c r="F203" s="5" t="s">
        <v>92</v>
      </c>
      <c r="G203" s="5" t="s">
        <v>90</v>
      </c>
      <c r="H203" s="5" t="s">
        <v>60</v>
      </c>
      <c r="I203" s="5" t="s">
        <v>34</v>
      </c>
      <c r="J203" s="5" t="s">
        <v>29</v>
      </c>
      <c r="K203" s="5" t="s">
        <v>48</v>
      </c>
      <c r="L203" s="5" t="s">
        <v>31</v>
      </c>
      <c r="M203" s="5" t="s">
        <v>32</v>
      </c>
      <c r="N203" s="5" t="s">
        <v>16</v>
      </c>
    </row>
    <row r="204" spans="1:14" ht="15.75" customHeight="1" x14ac:dyDescent="0.2">
      <c r="A204" s="5" t="s">
        <v>35</v>
      </c>
      <c r="B204" s="5">
        <v>0</v>
      </c>
      <c r="C204" s="5">
        <v>0</v>
      </c>
      <c r="D204" s="5" t="s">
        <v>97</v>
      </c>
      <c r="E204" s="5" t="s">
        <v>93</v>
      </c>
      <c r="F204" s="5" t="s">
        <v>92</v>
      </c>
      <c r="G204" s="5" t="s">
        <v>91</v>
      </c>
      <c r="H204" s="5" t="s">
        <v>60</v>
      </c>
      <c r="I204" s="5" t="s">
        <v>34</v>
      </c>
      <c r="J204" s="5" t="s">
        <v>29</v>
      </c>
      <c r="K204" s="5" t="s">
        <v>48</v>
      </c>
      <c r="L204" s="5" t="s">
        <v>31</v>
      </c>
      <c r="M204" s="5" t="s">
        <v>32</v>
      </c>
      <c r="N204" s="5" t="s">
        <v>16</v>
      </c>
    </row>
    <row r="205" spans="1:14" ht="15.75" customHeight="1" x14ac:dyDescent="0.2">
      <c r="A205" s="5" t="s">
        <v>36</v>
      </c>
      <c r="B205" s="5">
        <v>0</v>
      </c>
      <c r="C205" s="5">
        <v>0</v>
      </c>
      <c r="D205" s="5" t="s">
        <v>97</v>
      </c>
      <c r="E205" s="5" t="s">
        <v>93</v>
      </c>
      <c r="F205" s="5" t="s">
        <v>92</v>
      </c>
      <c r="G205" s="5" t="s">
        <v>90</v>
      </c>
      <c r="H205" s="5" t="s">
        <v>60</v>
      </c>
      <c r="I205" s="5" t="s">
        <v>36</v>
      </c>
      <c r="J205" s="5" t="s">
        <v>29</v>
      </c>
      <c r="K205" s="5" t="s">
        <v>48</v>
      </c>
      <c r="L205" s="5" t="s">
        <v>31</v>
      </c>
      <c r="M205" s="5" t="s">
        <v>32</v>
      </c>
      <c r="N205" s="5" t="s">
        <v>16</v>
      </c>
    </row>
    <row r="206" spans="1:14" ht="15.75" customHeight="1" x14ac:dyDescent="0.2">
      <c r="A206" s="5" t="s">
        <v>35</v>
      </c>
      <c r="B206" s="5">
        <v>0</v>
      </c>
      <c r="C206" s="5">
        <v>0</v>
      </c>
      <c r="D206" s="5" t="s">
        <v>97</v>
      </c>
      <c r="E206" s="5" t="s">
        <v>93</v>
      </c>
      <c r="F206" s="5" t="s">
        <v>92</v>
      </c>
      <c r="G206" s="5" t="s">
        <v>91</v>
      </c>
      <c r="H206" s="5" t="s">
        <v>60</v>
      </c>
      <c r="I206" s="5" t="s">
        <v>36</v>
      </c>
      <c r="J206" s="5" t="s">
        <v>29</v>
      </c>
      <c r="K206" s="5" t="s">
        <v>48</v>
      </c>
      <c r="L206" s="5" t="s">
        <v>31</v>
      </c>
      <c r="M206" s="5" t="s">
        <v>32</v>
      </c>
      <c r="N206" s="5" t="s">
        <v>16</v>
      </c>
    </row>
    <row r="207" spans="1:14" ht="15.75" customHeight="1" x14ac:dyDescent="0.2">
      <c r="A207" s="5" t="s">
        <v>37</v>
      </c>
      <c r="B207" s="5">
        <v>0</v>
      </c>
      <c r="C207" s="5">
        <v>0</v>
      </c>
      <c r="D207" s="5" t="s">
        <v>97</v>
      </c>
      <c r="E207" s="5" t="s">
        <v>93</v>
      </c>
      <c r="F207" s="5" t="s">
        <v>92</v>
      </c>
      <c r="G207" s="5" t="s">
        <v>90</v>
      </c>
      <c r="H207" s="5" t="s">
        <v>60</v>
      </c>
      <c r="I207" s="5" t="s">
        <v>37</v>
      </c>
      <c r="J207" s="5" t="s">
        <v>29</v>
      </c>
      <c r="K207" s="5" t="s">
        <v>48</v>
      </c>
      <c r="L207" s="5" t="s">
        <v>31</v>
      </c>
      <c r="M207" s="5" t="s">
        <v>32</v>
      </c>
      <c r="N207" s="5" t="s">
        <v>16</v>
      </c>
    </row>
    <row r="208" spans="1:14" ht="15.75" customHeight="1" x14ac:dyDescent="0.2">
      <c r="A208" s="5" t="s">
        <v>35</v>
      </c>
      <c r="B208" s="5">
        <v>0</v>
      </c>
      <c r="C208" s="5">
        <v>0</v>
      </c>
      <c r="D208" s="5" t="s">
        <v>97</v>
      </c>
      <c r="E208" s="5" t="s">
        <v>93</v>
      </c>
      <c r="F208" s="5" t="s">
        <v>92</v>
      </c>
      <c r="G208" s="5" t="s">
        <v>91</v>
      </c>
      <c r="H208" s="5" t="s">
        <v>60</v>
      </c>
      <c r="I208" s="5" t="s">
        <v>37</v>
      </c>
      <c r="J208" s="5" t="s">
        <v>29</v>
      </c>
      <c r="K208" s="5" t="s">
        <v>48</v>
      </c>
      <c r="L208" s="5" t="s">
        <v>31</v>
      </c>
      <c r="M208" s="5" t="s">
        <v>32</v>
      </c>
      <c r="N208" s="5" t="s">
        <v>16</v>
      </c>
    </row>
    <row r="209" spans="1:14" ht="15.75" customHeight="1" x14ac:dyDescent="0.2">
      <c r="A209" s="5" t="s">
        <v>38</v>
      </c>
      <c r="B209" s="5">
        <v>0</v>
      </c>
      <c r="C209" s="5">
        <v>0</v>
      </c>
      <c r="D209" s="5" t="s">
        <v>97</v>
      </c>
      <c r="E209" s="5" t="s">
        <v>93</v>
      </c>
      <c r="F209" s="5" t="s">
        <v>92</v>
      </c>
      <c r="G209" s="5" t="s">
        <v>90</v>
      </c>
      <c r="H209" s="5" t="s">
        <v>60</v>
      </c>
      <c r="I209" s="5" t="s">
        <v>38</v>
      </c>
      <c r="J209" s="5" t="s">
        <v>29</v>
      </c>
      <c r="K209" s="5" t="s">
        <v>48</v>
      </c>
      <c r="L209" s="5" t="s">
        <v>31</v>
      </c>
      <c r="M209" s="5" t="s">
        <v>32</v>
      </c>
      <c r="N209" s="5" t="s">
        <v>16</v>
      </c>
    </row>
    <row r="210" spans="1:14" ht="15.75" customHeight="1" x14ac:dyDescent="0.2">
      <c r="A210" s="5" t="s">
        <v>35</v>
      </c>
      <c r="B210" s="5">
        <v>0</v>
      </c>
      <c r="C210" s="5">
        <v>0</v>
      </c>
      <c r="D210" s="5" t="s">
        <v>97</v>
      </c>
      <c r="E210" s="5" t="s">
        <v>93</v>
      </c>
      <c r="F210" s="5" t="s">
        <v>92</v>
      </c>
      <c r="G210" s="5" t="s">
        <v>91</v>
      </c>
      <c r="H210" s="5" t="s">
        <v>60</v>
      </c>
      <c r="I210" s="5" t="s">
        <v>38</v>
      </c>
      <c r="J210" s="5" t="s">
        <v>29</v>
      </c>
      <c r="K210" s="5" t="s">
        <v>48</v>
      </c>
      <c r="L210" s="5" t="s">
        <v>31</v>
      </c>
      <c r="M210" s="5" t="s">
        <v>32</v>
      </c>
      <c r="N210" s="5" t="s">
        <v>16</v>
      </c>
    </row>
    <row r="211" spans="1:14" ht="15.75" customHeight="1" x14ac:dyDescent="0.2">
      <c r="A211" s="5" t="s">
        <v>39</v>
      </c>
      <c r="B211" s="5">
        <v>0</v>
      </c>
      <c r="C211" s="5">
        <v>0</v>
      </c>
      <c r="D211" s="5" t="s">
        <v>97</v>
      </c>
      <c r="E211" s="5" t="s">
        <v>93</v>
      </c>
      <c r="F211" s="5" t="s">
        <v>92</v>
      </c>
      <c r="G211" s="5" t="s">
        <v>90</v>
      </c>
      <c r="H211" s="5" t="s">
        <v>60</v>
      </c>
      <c r="I211" s="5" t="s">
        <v>39</v>
      </c>
      <c r="J211" s="5" t="s">
        <v>29</v>
      </c>
      <c r="K211" s="5" t="s">
        <v>48</v>
      </c>
      <c r="L211" s="5" t="s">
        <v>31</v>
      </c>
      <c r="M211" s="5" t="s">
        <v>32</v>
      </c>
      <c r="N211" s="5" t="s">
        <v>16</v>
      </c>
    </row>
    <row r="212" spans="1:14" ht="15.75" customHeight="1" x14ac:dyDescent="0.2">
      <c r="A212" s="5" t="s">
        <v>35</v>
      </c>
      <c r="B212" s="5">
        <v>0</v>
      </c>
      <c r="C212" s="5">
        <v>0</v>
      </c>
      <c r="D212" s="5" t="s">
        <v>97</v>
      </c>
      <c r="E212" s="5" t="s">
        <v>93</v>
      </c>
      <c r="F212" s="5" t="s">
        <v>92</v>
      </c>
      <c r="G212" s="5" t="s">
        <v>91</v>
      </c>
      <c r="H212" s="5" t="s">
        <v>60</v>
      </c>
      <c r="I212" s="5" t="s">
        <v>39</v>
      </c>
      <c r="J212" s="5" t="s">
        <v>29</v>
      </c>
      <c r="K212" s="5" t="s">
        <v>48</v>
      </c>
      <c r="L212" s="5" t="s">
        <v>31</v>
      </c>
      <c r="M212" s="5" t="s">
        <v>32</v>
      </c>
      <c r="N212" s="5" t="s">
        <v>16</v>
      </c>
    </row>
    <row r="213" spans="1:14" ht="15.75" customHeight="1" x14ac:dyDescent="0.2">
      <c r="A213" s="5" t="s">
        <v>40</v>
      </c>
      <c r="B213" s="5">
        <v>0</v>
      </c>
      <c r="C213" s="5">
        <v>0</v>
      </c>
      <c r="D213" s="5" t="s">
        <v>97</v>
      </c>
      <c r="E213" s="5" t="s">
        <v>93</v>
      </c>
      <c r="F213" s="5" t="s">
        <v>92</v>
      </c>
      <c r="G213" s="5" t="s">
        <v>90</v>
      </c>
      <c r="H213" s="5" t="s">
        <v>60</v>
      </c>
      <c r="I213" s="5" t="s">
        <v>40</v>
      </c>
      <c r="J213" s="5" t="s">
        <v>29</v>
      </c>
      <c r="K213" s="5" t="s">
        <v>48</v>
      </c>
      <c r="L213" s="5" t="s">
        <v>31</v>
      </c>
      <c r="M213" s="5" t="s">
        <v>32</v>
      </c>
      <c r="N213" s="5" t="s">
        <v>16</v>
      </c>
    </row>
    <row r="214" spans="1:14" ht="15.75" customHeight="1" x14ac:dyDescent="0.2">
      <c r="A214" s="5" t="s">
        <v>35</v>
      </c>
      <c r="B214" s="5">
        <v>0</v>
      </c>
      <c r="C214" s="5">
        <v>0</v>
      </c>
      <c r="D214" s="5" t="s">
        <v>97</v>
      </c>
      <c r="E214" s="5" t="s">
        <v>93</v>
      </c>
      <c r="F214" s="5" t="s">
        <v>92</v>
      </c>
      <c r="G214" s="5" t="s">
        <v>91</v>
      </c>
      <c r="H214" s="5" t="s">
        <v>60</v>
      </c>
      <c r="I214" s="5" t="s">
        <v>40</v>
      </c>
      <c r="J214" s="5" t="s">
        <v>29</v>
      </c>
      <c r="K214" s="5" t="s">
        <v>48</v>
      </c>
      <c r="L214" s="5" t="s">
        <v>31</v>
      </c>
      <c r="M214" s="5" t="s">
        <v>32</v>
      </c>
      <c r="N214" s="5" t="s">
        <v>16</v>
      </c>
    </row>
    <row r="215" spans="1:14" ht="15.75" customHeight="1" x14ac:dyDescent="0.2">
      <c r="A215" s="5" t="s">
        <v>41</v>
      </c>
      <c r="B215" s="5">
        <v>0</v>
      </c>
      <c r="C215" s="5">
        <v>0</v>
      </c>
      <c r="D215" s="5" t="s">
        <v>97</v>
      </c>
      <c r="E215" s="5" t="s">
        <v>93</v>
      </c>
      <c r="F215" s="5" t="s">
        <v>92</v>
      </c>
      <c r="G215" s="5" t="s">
        <v>90</v>
      </c>
      <c r="H215" s="5" t="s">
        <v>60</v>
      </c>
      <c r="I215" s="5" t="s">
        <v>41</v>
      </c>
      <c r="J215" s="5" t="s">
        <v>29</v>
      </c>
      <c r="K215" s="5" t="s">
        <v>48</v>
      </c>
      <c r="L215" s="5" t="s">
        <v>31</v>
      </c>
      <c r="M215" s="5" t="s">
        <v>32</v>
      </c>
      <c r="N215" s="5" t="s">
        <v>16</v>
      </c>
    </row>
    <row r="216" spans="1:14" ht="15.75" customHeight="1" x14ac:dyDescent="0.2">
      <c r="A216" s="5" t="s">
        <v>35</v>
      </c>
      <c r="B216" s="5">
        <v>0</v>
      </c>
      <c r="C216" s="5">
        <v>0</v>
      </c>
      <c r="D216" s="5" t="s">
        <v>97</v>
      </c>
      <c r="E216" s="5" t="s">
        <v>93</v>
      </c>
      <c r="F216" s="5" t="s">
        <v>92</v>
      </c>
      <c r="G216" s="5" t="s">
        <v>91</v>
      </c>
      <c r="H216" s="5" t="s">
        <v>60</v>
      </c>
      <c r="I216" s="5" t="s">
        <v>41</v>
      </c>
      <c r="J216" s="5" t="s">
        <v>29</v>
      </c>
      <c r="K216" s="5" t="s">
        <v>48</v>
      </c>
      <c r="L216" s="5" t="s">
        <v>31</v>
      </c>
      <c r="M216" s="5" t="s">
        <v>32</v>
      </c>
      <c r="N216" s="5" t="s">
        <v>16</v>
      </c>
    </row>
    <row r="217" spans="1:14" ht="15.75" customHeight="1" x14ac:dyDescent="0.2">
      <c r="A217" s="5" t="s">
        <v>42</v>
      </c>
      <c r="B217" s="5">
        <v>1</v>
      </c>
      <c r="C217" s="5">
        <v>54</v>
      </c>
      <c r="D217" s="5" t="s">
        <v>97</v>
      </c>
      <c r="E217" s="5" t="s">
        <v>93</v>
      </c>
      <c r="F217" s="5" t="s">
        <v>92</v>
      </c>
      <c r="G217" s="5" t="s">
        <v>90</v>
      </c>
      <c r="H217" s="5" t="s">
        <v>60</v>
      </c>
      <c r="I217" s="5" t="s">
        <v>42</v>
      </c>
      <c r="J217" s="5" t="s">
        <v>29</v>
      </c>
      <c r="K217" s="5" t="s">
        <v>48</v>
      </c>
      <c r="L217" s="5" t="s">
        <v>31</v>
      </c>
      <c r="M217" s="5" t="s">
        <v>32</v>
      </c>
      <c r="N217" s="5" t="s">
        <v>16</v>
      </c>
    </row>
    <row r="218" spans="1:14" ht="15.75" customHeight="1" x14ac:dyDescent="0.2">
      <c r="A218" s="5" t="s">
        <v>35</v>
      </c>
      <c r="B218" s="5">
        <v>1</v>
      </c>
      <c r="C218" s="5">
        <v>54</v>
      </c>
      <c r="D218" s="5" t="s">
        <v>97</v>
      </c>
      <c r="E218" s="5" t="s">
        <v>93</v>
      </c>
      <c r="F218" s="5" t="s">
        <v>92</v>
      </c>
      <c r="G218" s="5" t="s">
        <v>91</v>
      </c>
      <c r="H218" s="5" t="s">
        <v>60</v>
      </c>
      <c r="I218" s="5" t="s">
        <v>42</v>
      </c>
      <c r="J218" s="5" t="s">
        <v>29</v>
      </c>
      <c r="K218" s="5" t="s">
        <v>48</v>
      </c>
      <c r="L218" s="5" t="s">
        <v>31</v>
      </c>
      <c r="M218" s="5" t="s">
        <v>32</v>
      </c>
      <c r="N218" s="5" t="s">
        <v>16</v>
      </c>
    </row>
    <row r="219" spans="1:14" ht="15.75" customHeight="1" x14ac:dyDescent="0.2">
      <c r="A219" s="5" t="s">
        <v>43</v>
      </c>
      <c r="B219" s="5">
        <v>0</v>
      </c>
      <c r="C219" s="5">
        <v>0</v>
      </c>
      <c r="D219" s="5" t="s">
        <v>97</v>
      </c>
      <c r="E219" s="5" t="s">
        <v>93</v>
      </c>
      <c r="F219" s="5" t="s">
        <v>92</v>
      </c>
      <c r="G219" s="5" t="s">
        <v>90</v>
      </c>
      <c r="H219" s="5" t="s">
        <v>60</v>
      </c>
      <c r="I219" s="5" t="s">
        <v>43</v>
      </c>
      <c r="J219" s="5" t="s">
        <v>29</v>
      </c>
      <c r="K219" s="5" t="s">
        <v>48</v>
      </c>
      <c r="L219" s="5" t="s">
        <v>31</v>
      </c>
      <c r="M219" s="5" t="s">
        <v>32</v>
      </c>
      <c r="N219" s="5" t="s">
        <v>16</v>
      </c>
    </row>
    <row r="220" spans="1:14" ht="15.75" customHeight="1" x14ac:dyDescent="0.2">
      <c r="A220" s="5" t="s">
        <v>35</v>
      </c>
      <c r="B220" s="5">
        <v>0</v>
      </c>
      <c r="C220" s="5">
        <v>0</v>
      </c>
      <c r="D220" s="5" t="s">
        <v>97</v>
      </c>
      <c r="E220" s="5" t="s">
        <v>93</v>
      </c>
      <c r="F220" s="5" t="s">
        <v>92</v>
      </c>
      <c r="G220" s="5" t="s">
        <v>91</v>
      </c>
      <c r="H220" s="5" t="s">
        <v>60</v>
      </c>
      <c r="I220" s="5" t="s">
        <v>43</v>
      </c>
      <c r="J220" s="5" t="s">
        <v>29</v>
      </c>
      <c r="K220" s="5" t="s">
        <v>48</v>
      </c>
      <c r="L220" s="5" t="s">
        <v>31</v>
      </c>
      <c r="M220" s="5" t="s">
        <v>32</v>
      </c>
      <c r="N220" s="5" t="s">
        <v>16</v>
      </c>
    </row>
    <row r="221" spans="1:14" ht="15.75" customHeight="1" x14ac:dyDescent="0.2">
      <c r="A221" s="5" t="s">
        <v>44</v>
      </c>
      <c r="B221" s="5">
        <v>0</v>
      </c>
      <c r="C221" s="5">
        <v>0</v>
      </c>
      <c r="D221" s="5" t="s">
        <v>97</v>
      </c>
      <c r="E221" s="5" t="s">
        <v>93</v>
      </c>
      <c r="F221" s="5" t="s">
        <v>92</v>
      </c>
      <c r="G221" s="5" t="s">
        <v>90</v>
      </c>
      <c r="H221" s="5" t="s">
        <v>60</v>
      </c>
      <c r="I221" s="5" t="s">
        <v>44</v>
      </c>
      <c r="J221" s="5" t="s">
        <v>29</v>
      </c>
      <c r="K221" s="5" t="s">
        <v>48</v>
      </c>
      <c r="L221" s="5" t="s">
        <v>31</v>
      </c>
      <c r="M221" s="5" t="s">
        <v>32</v>
      </c>
      <c r="N221" s="5" t="s">
        <v>16</v>
      </c>
    </row>
    <row r="222" spans="1:14" ht="15.75" customHeight="1" x14ac:dyDescent="0.2">
      <c r="A222" s="5" t="s">
        <v>35</v>
      </c>
      <c r="B222" s="5">
        <v>0</v>
      </c>
      <c r="C222" s="5">
        <v>0</v>
      </c>
      <c r="D222" s="5" t="s">
        <v>97</v>
      </c>
      <c r="E222" s="5" t="s">
        <v>93</v>
      </c>
      <c r="F222" s="5" t="s">
        <v>92</v>
      </c>
      <c r="G222" s="5" t="s">
        <v>91</v>
      </c>
      <c r="H222" s="5" t="s">
        <v>60</v>
      </c>
      <c r="I222" s="5" t="s">
        <v>44</v>
      </c>
      <c r="J222" s="5" t="s">
        <v>29</v>
      </c>
      <c r="K222" s="5" t="s">
        <v>48</v>
      </c>
      <c r="L222" s="5" t="s">
        <v>31</v>
      </c>
      <c r="M222" s="5" t="s">
        <v>32</v>
      </c>
      <c r="N222" s="5" t="s">
        <v>16</v>
      </c>
    </row>
    <row r="223" spans="1:14" ht="15.75" customHeight="1" x14ac:dyDescent="0.2">
      <c r="A223" s="5" t="s">
        <v>45</v>
      </c>
      <c r="B223" s="5">
        <v>0</v>
      </c>
      <c r="C223" s="5">
        <v>0</v>
      </c>
      <c r="D223" s="5" t="s">
        <v>97</v>
      </c>
      <c r="E223" s="5" t="s">
        <v>93</v>
      </c>
      <c r="F223" s="5" t="s">
        <v>92</v>
      </c>
      <c r="G223" s="5" t="s">
        <v>90</v>
      </c>
      <c r="H223" s="5" t="s">
        <v>60</v>
      </c>
      <c r="I223" s="5" t="s">
        <v>45</v>
      </c>
      <c r="J223" s="5" t="s">
        <v>29</v>
      </c>
      <c r="K223" s="5" t="s">
        <v>48</v>
      </c>
      <c r="L223" s="5" t="s">
        <v>31</v>
      </c>
      <c r="M223" s="5" t="s">
        <v>32</v>
      </c>
      <c r="N223" s="5" t="s">
        <v>16</v>
      </c>
    </row>
    <row r="224" spans="1:14" ht="15.75" customHeight="1" x14ac:dyDescent="0.2">
      <c r="A224" s="5" t="s">
        <v>35</v>
      </c>
      <c r="B224" s="5">
        <v>0</v>
      </c>
      <c r="C224" s="5">
        <v>0</v>
      </c>
      <c r="D224" s="5" t="s">
        <v>97</v>
      </c>
      <c r="E224" s="5" t="s">
        <v>93</v>
      </c>
      <c r="F224" s="5" t="s">
        <v>92</v>
      </c>
      <c r="G224" s="5" t="s">
        <v>91</v>
      </c>
      <c r="H224" s="5" t="s">
        <v>60</v>
      </c>
      <c r="I224" s="5" t="s">
        <v>45</v>
      </c>
      <c r="J224" s="5" t="s">
        <v>29</v>
      </c>
      <c r="K224" s="5" t="s">
        <v>48</v>
      </c>
      <c r="L224" s="5" t="s">
        <v>31</v>
      </c>
      <c r="M224" s="5" t="s">
        <v>32</v>
      </c>
      <c r="N224" s="5" t="s">
        <v>16</v>
      </c>
    </row>
    <row r="225" spans="1:14" ht="15.75" customHeight="1" x14ac:dyDescent="0.2">
      <c r="A225" s="5" t="s">
        <v>46</v>
      </c>
      <c r="B225" s="5">
        <v>0</v>
      </c>
      <c r="C225" s="5">
        <v>0</v>
      </c>
      <c r="D225" s="5" t="s">
        <v>97</v>
      </c>
      <c r="E225" s="5" t="s">
        <v>93</v>
      </c>
      <c r="F225" s="5" t="s">
        <v>92</v>
      </c>
      <c r="G225" s="5" t="s">
        <v>90</v>
      </c>
      <c r="H225" s="5" t="s">
        <v>60</v>
      </c>
      <c r="I225" s="5" t="s">
        <v>46</v>
      </c>
      <c r="J225" s="5" t="s">
        <v>29</v>
      </c>
      <c r="K225" s="5" t="s">
        <v>48</v>
      </c>
      <c r="L225" s="5" t="s">
        <v>31</v>
      </c>
      <c r="M225" s="5" t="s">
        <v>32</v>
      </c>
      <c r="N225" s="5" t="s">
        <v>16</v>
      </c>
    </row>
    <row r="226" spans="1:14" ht="15.75" customHeight="1" x14ac:dyDescent="0.2">
      <c r="A226" s="5" t="s">
        <v>35</v>
      </c>
      <c r="B226" s="5">
        <v>0</v>
      </c>
      <c r="C226" s="5">
        <v>0</v>
      </c>
      <c r="D226" s="5" t="s">
        <v>97</v>
      </c>
      <c r="E226" s="5" t="s">
        <v>93</v>
      </c>
      <c r="F226" s="5" t="s">
        <v>92</v>
      </c>
      <c r="G226" s="5" t="s">
        <v>91</v>
      </c>
      <c r="H226" s="5" t="s">
        <v>60</v>
      </c>
      <c r="I226" s="5" t="s">
        <v>46</v>
      </c>
      <c r="J226" s="5" t="s">
        <v>29</v>
      </c>
      <c r="K226" s="5" t="s">
        <v>48</v>
      </c>
      <c r="L226" s="5" t="s">
        <v>31</v>
      </c>
      <c r="M226" s="5" t="s">
        <v>32</v>
      </c>
      <c r="N226" s="5" t="s">
        <v>16</v>
      </c>
    </row>
    <row r="227" spans="1:14" ht="15.75" customHeight="1" x14ac:dyDescent="0.2">
      <c r="A227" s="5" t="s">
        <v>87</v>
      </c>
      <c r="B227" s="5">
        <v>0</v>
      </c>
      <c r="C227" s="5">
        <v>0</v>
      </c>
      <c r="D227" s="5" t="s">
        <v>98</v>
      </c>
      <c r="E227" s="5" t="s">
        <v>93</v>
      </c>
      <c r="F227" s="5" t="s">
        <v>92</v>
      </c>
      <c r="G227" s="5" t="s">
        <v>89</v>
      </c>
      <c r="H227" s="5" t="s">
        <v>61</v>
      </c>
      <c r="I227" s="5" t="s">
        <v>87</v>
      </c>
      <c r="J227" s="5" t="s">
        <v>29</v>
      </c>
      <c r="K227" s="5" t="s">
        <v>48</v>
      </c>
      <c r="L227" s="5" t="s">
        <v>31</v>
      </c>
      <c r="M227" s="5" t="s">
        <v>32</v>
      </c>
      <c r="N227" s="5" t="s">
        <v>16</v>
      </c>
    </row>
    <row r="228" spans="1:14" ht="15.75" customHeight="1" x14ac:dyDescent="0.2">
      <c r="A228" s="5" t="s">
        <v>34</v>
      </c>
      <c r="B228" s="5">
        <v>0</v>
      </c>
      <c r="C228" s="5">
        <v>0</v>
      </c>
      <c r="D228" s="5" t="s">
        <v>98</v>
      </c>
      <c r="E228" s="5" t="s">
        <v>93</v>
      </c>
      <c r="F228" s="5" t="s">
        <v>92</v>
      </c>
      <c r="G228" s="5" t="s">
        <v>90</v>
      </c>
      <c r="H228" s="5" t="s">
        <v>61</v>
      </c>
      <c r="I228" s="5" t="s">
        <v>34</v>
      </c>
      <c r="J228" s="5" t="s">
        <v>29</v>
      </c>
      <c r="K228" s="5" t="s">
        <v>48</v>
      </c>
      <c r="L228" s="5" t="s">
        <v>31</v>
      </c>
      <c r="M228" s="5" t="s">
        <v>32</v>
      </c>
      <c r="N228" s="5" t="s">
        <v>16</v>
      </c>
    </row>
    <row r="229" spans="1:14" ht="15.75" customHeight="1" x14ac:dyDescent="0.2">
      <c r="A229" s="5" t="s">
        <v>35</v>
      </c>
      <c r="B229" s="5">
        <v>0</v>
      </c>
      <c r="C229" s="5">
        <v>0</v>
      </c>
      <c r="D229" s="5" t="s">
        <v>98</v>
      </c>
      <c r="E229" s="5" t="s">
        <v>93</v>
      </c>
      <c r="F229" s="5" t="s">
        <v>92</v>
      </c>
      <c r="G229" s="5" t="s">
        <v>91</v>
      </c>
      <c r="H229" s="5" t="s">
        <v>61</v>
      </c>
      <c r="I229" s="5" t="s">
        <v>34</v>
      </c>
      <c r="J229" s="5" t="s">
        <v>29</v>
      </c>
      <c r="K229" s="5" t="s">
        <v>48</v>
      </c>
      <c r="L229" s="5" t="s">
        <v>31</v>
      </c>
      <c r="M229" s="5" t="s">
        <v>32</v>
      </c>
      <c r="N229" s="5" t="s">
        <v>16</v>
      </c>
    </row>
    <row r="230" spans="1:14" ht="15.75" customHeight="1" x14ac:dyDescent="0.2">
      <c r="A230" s="5" t="s">
        <v>36</v>
      </c>
      <c r="B230" s="5">
        <v>0</v>
      </c>
      <c r="C230" s="5">
        <v>0</v>
      </c>
      <c r="D230" s="5" t="s">
        <v>98</v>
      </c>
      <c r="E230" s="5" t="s">
        <v>93</v>
      </c>
      <c r="F230" s="5" t="s">
        <v>92</v>
      </c>
      <c r="G230" s="5" t="s">
        <v>90</v>
      </c>
      <c r="H230" s="5" t="s">
        <v>61</v>
      </c>
      <c r="I230" s="5" t="s">
        <v>36</v>
      </c>
      <c r="J230" s="5" t="s">
        <v>29</v>
      </c>
      <c r="K230" s="5" t="s">
        <v>48</v>
      </c>
      <c r="L230" s="5" t="s">
        <v>31</v>
      </c>
      <c r="M230" s="5" t="s">
        <v>32</v>
      </c>
      <c r="N230" s="5" t="s">
        <v>16</v>
      </c>
    </row>
    <row r="231" spans="1:14" ht="15.75" customHeight="1" x14ac:dyDescent="0.2">
      <c r="A231" s="5" t="s">
        <v>35</v>
      </c>
      <c r="B231" s="5">
        <v>0</v>
      </c>
      <c r="C231" s="5">
        <v>0</v>
      </c>
      <c r="D231" s="5" t="s">
        <v>98</v>
      </c>
      <c r="E231" s="5" t="s">
        <v>93</v>
      </c>
      <c r="F231" s="5" t="s">
        <v>92</v>
      </c>
      <c r="G231" s="5" t="s">
        <v>91</v>
      </c>
      <c r="H231" s="5" t="s">
        <v>61</v>
      </c>
      <c r="I231" s="5" t="s">
        <v>36</v>
      </c>
      <c r="J231" s="5" t="s">
        <v>29</v>
      </c>
      <c r="K231" s="5" t="s">
        <v>48</v>
      </c>
      <c r="L231" s="5" t="s">
        <v>31</v>
      </c>
      <c r="M231" s="5" t="s">
        <v>32</v>
      </c>
      <c r="N231" s="5" t="s">
        <v>16</v>
      </c>
    </row>
    <row r="232" spans="1:14" ht="15.75" customHeight="1" x14ac:dyDescent="0.2">
      <c r="A232" s="5" t="s">
        <v>37</v>
      </c>
      <c r="B232" s="5">
        <v>0</v>
      </c>
      <c r="C232" s="5">
        <v>0</v>
      </c>
      <c r="D232" s="5" t="s">
        <v>98</v>
      </c>
      <c r="E232" s="5" t="s">
        <v>93</v>
      </c>
      <c r="F232" s="5" t="s">
        <v>92</v>
      </c>
      <c r="G232" s="5" t="s">
        <v>90</v>
      </c>
      <c r="H232" s="5" t="s">
        <v>61</v>
      </c>
      <c r="I232" s="5" t="s">
        <v>37</v>
      </c>
      <c r="J232" s="5" t="s">
        <v>29</v>
      </c>
      <c r="K232" s="5" t="s">
        <v>48</v>
      </c>
      <c r="L232" s="5" t="s">
        <v>31</v>
      </c>
      <c r="M232" s="5" t="s">
        <v>32</v>
      </c>
      <c r="N232" s="5" t="s">
        <v>16</v>
      </c>
    </row>
    <row r="233" spans="1:14" ht="15.75" customHeight="1" x14ac:dyDescent="0.2">
      <c r="A233" s="5" t="s">
        <v>35</v>
      </c>
      <c r="B233" s="5">
        <v>0</v>
      </c>
      <c r="C233" s="5">
        <v>0</v>
      </c>
      <c r="D233" s="5" t="s">
        <v>98</v>
      </c>
      <c r="E233" s="5" t="s">
        <v>93</v>
      </c>
      <c r="F233" s="5" t="s">
        <v>92</v>
      </c>
      <c r="G233" s="5" t="s">
        <v>91</v>
      </c>
      <c r="H233" s="5" t="s">
        <v>61</v>
      </c>
      <c r="I233" s="5" t="s">
        <v>37</v>
      </c>
      <c r="J233" s="5" t="s">
        <v>29</v>
      </c>
      <c r="K233" s="5" t="s">
        <v>48</v>
      </c>
      <c r="L233" s="5" t="s">
        <v>31</v>
      </c>
      <c r="M233" s="5" t="s">
        <v>32</v>
      </c>
      <c r="N233" s="5" t="s">
        <v>16</v>
      </c>
    </row>
    <row r="234" spans="1:14" ht="15.75" customHeight="1" x14ac:dyDescent="0.2">
      <c r="A234" s="5" t="s">
        <v>38</v>
      </c>
      <c r="B234" s="5">
        <v>0</v>
      </c>
      <c r="C234" s="5">
        <v>0</v>
      </c>
      <c r="D234" s="5" t="s">
        <v>98</v>
      </c>
      <c r="E234" s="5" t="s">
        <v>93</v>
      </c>
      <c r="F234" s="5" t="s">
        <v>92</v>
      </c>
      <c r="G234" s="5" t="s">
        <v>90</v>
      </c>
      <c r="H234" s="5" t="s">
        <v>61</v>
      </c>
      <c r="I234" s="5" t="s">
        <v>38</v>
      </c>
      <c r="J234" s="5" t="s">
        <v>29</v>
      </c>
      <c r="K234" s="5" t="s">
        <v>48</v>
      </c>
      <c r="L234" s="5" t="s">
        <v>31</v>
      </c>
      <c r="M234" s="5" t="s">
        <v>32</v>
      </c>
      <c r="N234" s="5" t="s">
        <v>16</v>
      </c>
    </row>
    <row r="235" spans="1:14" ht="15.75" customHeight="1" x14ac:dyDescent="0.2">
      <c r="A235" s="5" t="s">
        <v>35</v>
      </c>
      <c r="B235" s="5">
        <v>0</v>
      </c>
      <c r="C235" s="5">
        <v>0</v>
      </c>
      <c r="D235" s="5" t="s">
        <v>98</v>
      </c>
      <c r="E235" s="5" t="s">
        <v>93</v>
      </c>
      <c r="F235" s="5" t="s">
        <v>92</v>
      </c>
      <c r="G235" s="5" t="s">
        <v>91</v>
      </c>
      <c r="H235" s="5" t="s">
        <v>61</v>
      </c>
      <c r="I235" s="5" t="s">
        <v>38</v>
      </c>
      <c r="J235" s="5" t="s">
        <v>29</v>
      </c>
      <c r="K235" s="5" t="s">
        <v>48</v>
      </c>
      <c r="L235" s="5" t="s">
        <v>31</v>
      </c>
      <c r="M235" s="5" t="s">
        <v>32</v>
      </c>
      <c r="N235" s="5" t="s">
        <v>16</v>
      </c>
    </row>
    <row r="236" spans="1:14" ht="15.75" customHeight="1" x14ac:dyDescent="0.2">
      <c r="A236" s="5" t="s">
        <v>39</v>
      </c>
      <c r="B236" s="5">
        <v>0</v>
      </c>
      <c r="C236" s="5">
        <v>0</v>
      </c>
      <c r="D236" s="5" t="s">
        <v>98</v>
      </c>
      <c r="E236" s="5" t="s">
        <v>93</v>
      </c>
      <c r="F236" s="5" t="s">
        <v>92</v>
      </c>
      <c r="G236" s="5" t="s">
        <v>90</v>
      </c>
      <c r="H236" s="5" t="s">
        <v>61</v>
      </c>
      <c r="I236" s="5" t="s">
        <v>39</v>
      </c>
      <c r="J236" s="5" t="s">
        <v>29</v>
      </c>
      <c r="K236" s="5" t="s">
        <v>48</v>
      </c>
      <c r="L236" s="5" t="s">
        <v>31</v>
      </c>
      <c r="M236" s="5" t="s">
        <v>32</v>
      </c>
      <c r="N236" s="5" t="s">
        <v>16</v>
      </c>
    </row>
    <row r="237" spans="1:14" ht="15.75" customHeight="1" x14ac:dyDescent="0.2">
      <c r="A237" s="5" t="s">
        <v>35</v>
      </c>
      <c r="B237" s="5">
        <v>0</v>
      </c>
      <c r="C237" s="5">
        <v>0</v>
      </c>
      <c r="D237" s="5" t="s">
        <v>98</v>
      </c>
      <c r="E237" s="5" t="s">
        <v>93</v>
      </c>
      <c r="F237" s="5" t="s">
        <v>92</v>
      </c>
      <c r="G237" s="5" t="s">
        <v>91</v>
      </c>
      <c r="H237" s="5" t="s">
        <v>61</v>
      </c>
      <c r="I237" s="5" t="s">
        <v>39</v>
      </c>
      <c r="J237" s="5" t="s">
        <v>29</v>
      </c>
      <c r="K237" s="5" t="s">
        <v>48</v>
      </c>
      <c r="L237" s="5" t="s">
        <v>31</v>
      </c>
      <c r="M237" s="5" t="s">
        <v>32</v>
      </c>
      <c r="N237" s="5" t="s">
        <v>16</v>
      </c>
    </row>
    <row r="238" spans="1:14" ht="15.75" customHeight="1" x14ac:dyDescent="0.2">
      <c r="A238" s="5" t="s">
        <v>40</v>
      </c>
      <c r="B238" s="5">
        <v>0</v>
      </c>
      <c r="C238" s="5">
        <v>0</v>
      </c>
      <c r="D238" s="5" t="s">
        <v>98</v>
      </c>
      <c r="E238" s="5" t="s">
        <v>93</v>
      </c>
      <c r="F238" s="5" t="s">
        <v>92</v>
      </c>
      <c r="G238" s="5" t="s">
        <v>90</v>
      </c>
      <c r="H238" s="5" t="s">
        <v>61</v>
      </c>
      <c r="I238" s="5" t="s">
        <v>40</v>
      </c>
      <c r="J238" s="5" t="s">
        <v>29</v>
      </c>
      <c r="K238" s="5" t="s">
        <v>48</v>
      </c>
      <c r="L238" s="5" t="s">
        <v>31</v>
      </c>
      <c r="M238" s="5" t="s">
        <v>32</v>
      </c>
      <c r="N238" s="5" t="s">
        <v>16</v>
      </c>
    </row>
    <row r="239" spans="1:14" ht="15.75" customHeight="1" x14ac:dyDescent="0.2">
      <c r="A239" s="5" t="s">
        <v>35</v>
      </c>
      <c r="B239" s="5">
        <v>0</v>
      </c>
      <c r="C239" s="5">
        <v>0</v>
      </c>
      <c r="D239" s="5" t="s">
        <v>98</v>
      </c>
      <c r="E239" s="5" t="s">
        <v>93</v>
      </c>
      <c r="F239" s="5" t="s">
        <v>92</v>
      </c>
      <c r="G239" s="5" t="s">
        <v>91</v>
      </c>
      <c r="H239" s="5" t="s">
        <v>61</v>
      </c>
      <c r="I239" s="5" t="s">
        <v>40</v>
      </c>
      <c r="J239" s="5" t="s">
        <v>29</v>
      </c>
      <c r="K239" s="5" t="s">
        <v>48</v>
      </c>
      <c r="L239" s="5" t="s">
        <v>31</v>
      </c>
      <c r="M239" s="5" t="s">
        <v>32</v>
      </c>
      <c r="N239" s="5" t="s">
        <v>16</v>
      </c>
    </row>
    <row r="240" spans="1:14" ht="15.75" customHeight="1" x14ac:dyDescent="0.2">
      <c r="A240" s="5" t="s">
        <v>41</v>
      </c>
      <c r="B240" s="5">
        <v>0</v>
      </c>
      <c r="C240" s="5">
        <v>0</v>
      </c>
      <c r="D240" s="5" t="s">
        <v>98</v>
      </c>
      <c r="E240" s="5" t="s">
        <v>93</v>
      </c>
      <c r="F240" s="5" t="s">
        <v>92</v>
      </c>
      <c r="G240" s="5" t="s">
        <v>90</v>
      </c>
      <c r="H240" s="5" t="s">
        <v>61</v>
      </c>
      <c r="I240" s="5" t="s">
        <v>41</v>
      </c>
      <c r="J240" s="5" t="s">
        <v>29</v>
      </c>
      <c r="K240" s="5" t="s">
        <v>48</v>
      </c>
      <c r="L240" s="5" t="s">
        <v>31</v>
      </c>
      <c r="M240" s="5" t="s">
        <v>32</v>
      </c>
      <c r="N240" s="5" t="s">
        <v>16</v>
      </c>
    </row>
    <row r="241" spans="1:14" ht="15.75" customHeight="1" x14ac:dyDescent="0.2">
      <c r="A241" s="5" t="s">
        <v>35</v>
      </c>
      <c r="B241" s="5">
        <v>0</v>
      </c>
      <c r="C241" s="5">
        <v>0</v>
      </c>
      <c r="D241" s="5" t="s">
        <v>98</v>
      </c>
      <c r="E241" s="5" t="s">
        <v>93</v>
      </c>
      <c r="F241" s="5" t="s">
        <v>92</v>
      </c>
      <c r="G241" s="5" t="s">
        <v>91</v>
      </c>
      <c r="H241" s="5" t="s">
        <v>61</v>
      </c>
      <c r="I241" s="5" t="s">
        <v>41</v>
      </c>
      <c r="J241" s="5" t="s">
        <v>29</v>
      </c>
      <c r="K241" s="5" t="s">
        <v>48</v>
      </c>
      <c r="L241" s="5" t="s">
        <v>31</v>
      </c>
      <c r="M241" s="5" t="s">
        <v>32</v>
      </c>
      <c r="N241" s="5" t="s">
        <v>16</v>
      </c>
    </row>
    <row r="242" spans="1:14" ht="15.75" customHeight="1" x14ac:dyDescent="0.2">
      <c r="A242" s="5" t="s">
        <v>42</v>
      </c>
      <c r="B242" s="5">
        <v>0</v>
      </c>
      <c r="C242" s="5">
        <v>0</v>
      </c>
      <c r="D242" s="5" t="s">
        <v>98</v>
      </c>
      <c r="E242" s="5" t="s">
        <v>93</v>
      </c>
      <c r="F242" s="5" t="s">
        <v>92</v>
      </c>
      <c r="G242" s="5" t="s">
        <v>90</v>
      </c>
      <c r="H242" s="5" t="s">
        <v>61</v>
      </c>
      <c r="I242" s="5" t="s">
        <v>42</v>
      </c>
      <c r="J242" s="5" t="s">
        <v>29</v>
      </c>
      <c r="K242" s="5" t="s">
        <v>48</v>
      </c>
      <c r="L242" s="5" t="s">
        <v>31</v>
      </c>
      <c r="M242" s="5" t="s">
        <v>32</v>
      </c>
      <c r="N242" s="5" t="s">
        <v>16</v>
      </c>
    </row>
    <row r="243" spans="1:14" ht="15.75" customHeight="1" x14ac:dyDescent="0.2">
      <c r="A243" s="5" t="s">
        <v>35</v>
      </c>
      <c r="B243" s="5">
        <v>0</v>
      </c>
      <c r="C243" s="5">
        <v>0</v>
      </c>
      <c r="D243" s="5" t="s">
        <v>98</v>
      </c>
      <c r="E243" s="5" t="s">
        <v>93</v>
      </c>
      <c r="F243" s="5" t="s">
        <v>92</v>
      </c>
      <c r="G243" s="5" t="s">
        <v>91</v>
      </c>
      <c r="H243" s="5" t="s">
        <v>61</v>
      </c>
      <c r="I243" s="5" t="s">
        <v>42</v>
      </c>
      <c r="J243" s="5" t="s">
        <v>29</v>
      </c>
      <c r="K243" s="5" t="s">
        <v>48</v>
      </c>
      <c r="L243" s="5" t="s">
        <v>31</v>
      </c>
      <c r="M243" s="5" t="s">
        <v>32</v>
      </c>
      <c r="N243" s="5" t="s">
        <v>16</v>
      </c>
    </row>
    <row r="244" spans="1:14" ht="15.75" customHeight="1" x14ac:dyDescent="0.2">
      <c r="A244" s="5" t="s">
        <v>43</v>
      </c>
      <c r="B244" s="5">
        <v>0</v>
      </c>
      <c r="C244" s="5">
        <v>0</v>
      </c>
      <c r="D244" s="5" t="s">
        <v>98</v>
      </c>
      <c r="E244" s="5" t="s">
        <v>93</v>
      </c>
      <c r="F244" s="5" t="s">
        <v>92</v>
      </c>
      <c r="G244" s="5" t="s">
        <v>90</v>
      </c>
      <c r="H244" s="5" t="s">
        <v>61</v>
      </c>
      <c r="I244" s="5" t="s">
        <v>43</v>
      </c>
      <c r="J244" s="5" t="s">
        <v>29</v>
      </c>
      <c r="K244" s="5" t="s">
        <v>48</v>
      </c>
      <c r="L244" s="5" t="s">
        <v>31</v>
      </c>
      <c r="M244" s="5" t="s">
        <v>32</v>
      </c>
      <c r="N244" s="5" t="s">
        <v>16</v>
      </c>
    </row>
    <row r="245" spans="1:14" ht="15.75" customHeight="1" x14ac:dyDescent="0.2">
      <c r="A245" s="5" t="s">
        <v>35</v>
      </c>
      <c r="B245" s="5">
        <v>0</v>
      </c>
      <c r="C245" s="5">
        <v>0</v>
      </c>
      <c r="D245" s="5" t="s">
        <v>98</v>
      </c>
      <c r="E245" s="5" t="s">
        <v>93</v>
      </c>
      <c r="F245" s="5" t="s">
        <v>92</v>
      </c>
      <c r="G245" s="5" t="s">
        <v>91</v>
      </c>
      <c r="H245" s="5" t="s">
        <v>61</v>
      </c>
      <c r="I245" s="5" t="s">
        <v>43</v>
      </c>
      <c r="J245" s="5" t="s">
        <v>29</v>
      </c>
      <c r="K245" s="5" t="s">
        <v>48</v>
      </c>
      <c r="L245" s="5" t="s">
        <v>31</v>
      </c>
      <c r="M245" s="5" t="s">
        <v>32</v>
      </c>
      <c r="N245" s="5" t="s">
        <v>16</v>
      </c>
    </row>
    <row r="246" spans="1:14" ht="15.75" customHeight="1" x14ac:dyDescent="0.2">
      <c r="A246" s="5" t="s">
        <v>44</v>
      </c>
      <c r="B246" s="5">
        <v>0</v>
      </c>
      <c r="C246" s="5">
        <v>0</v>
      </c>
      <c r="D246" s="5" t="s">
        <v>98</v>
      </c>
      <c r="E246" s="5" t="s">
        <v>93</v>
      </c>
      <c r="F246" s="5" t="s">
        <v>92</v>
      </c>
      <c r="G246" s="5" t="s">
        <v>90</v>
      </c>
      <c r="H246" s="5" t="s">
        <v>61</v>
      </c>
      <c r="I246" s="5" t="s">
        <v>44</v>
      </c>
      <c r="J246" s="5" t="s">
        <v>29</v>
      </c>
      <c r="K246" s="5" t="s">
        <v>48</v>
      </c>
      <c r="L246" s="5" t="s">
        <v>31</v>
      </c>
      <c r="M246" s="5" t="s">
        <v>32</v>
      </c>
      <c r="N246" s="5" t="s">
        <v>16</v>
      </c>
    </row>
    <row r="247" spans="1:14" ht="15.75" customHeight="1" x14ac:dyDescent="0.2">
      <c r="A247" s="5" t="s">
        <v>35</v>
      </c>
      <c r="B247" s="5">
        <v>0</v>
      </c>
      <c r="C247" s="5">
        <v>0</v>
      </c>
      <c r="D247" s="5" t="s">
        <v>98</v>
      </c>
      <c r="E247" s="5" t="s">
        <v>93</v>
      </c>
      <c r="F247" s="5" t="s">
        <v>92</v>
      </c>
      <c r="G247" s="5" t="s">
        <v>91</v>
      </c>
      <c r="H247" s="5" t="s">
        <v>61</v>
      </c>
      <c r="I247" s="5" t="s">
        <v>44</v>
      </c>
      <c r="J247" s="5" t="s">
        <v>29</v>
      </c>
      <c r="K247" s="5" t="s">
        <v>48</v>
      </c>
      <c r="L247" s="5" t="s">
        <v>31</v>
      </c>
      <c r="M247" s="5" t="s">
        <v>32</v>
      </c>
      <c r="N247" s="5" t="s">
        <v>16</v>
      </c>
    </row>
    <row r="248" spans="1:14" ht="15.75" customHeight="1" x14ac:dyDescent="0.2">
      <c r="A248" s="5" t="s">
        <v>45</v>
      </c>
      <c r="B248" s="5">
        <v>0</v>
      </c>
      <c r="C248" s="5">
        <v>0</v>
      </c>
      <c r="D248" s="5" t="s">
        <v>98</v>
      </c>
      <c r="E248" s="5" t="s">
        <v>93</v>
      </c>
      <c r="F248" s="5" t="s">
        <v>92</v>
      </c>
      <c r="G248" s="5" t="s">
        <v>90</v>
      </c>
      <c r="H248" s="5" t="s">
        <v>61</v>
      </c>
      <c r="I248" s="5" t="s">
        <v>45</v>
      </c>
      <c r="J248" s="5" t="s">
        <v>29</v>
      </c>
      <c r="K248" s="5" t="s">
        <v>48</v>
      </c>
      <c r="L248" s="5" t="s">
        <v>31</v>
      </c>
      <c r="M248" s="5" t="s">
        <v>32</v>
      </c>
      <c r="N248" s="5" t="s">
        <v>16</v>
      </c>
    </row>
    <row r="249" spans="1:14" ht="15.75" customHeight="1" x14ac:dyDescent="0.2">
      <c r="A249" s="5" t="s">
        <v>35</v>
      </c>
      <c r="B249" s="5">
        <v>0</v>
      </c>
      <c r="C249" s="5">
        <v>0</v>
      </c>
      <c r="D249" s="5" t="s">
        <v>98</v>
      </c>
      <c r="E249" s="5" t="s">
        <v>93</v>
      </c>
      <c r="F249" s="5" t="s">
        <v>92</v>
      </c>
      <c r="G249" s="5" t="s">
        <v>91</v>
      </c>
      <c r="H249" s="5" t="s">
        <v>61</v>
      </c>
      <c r="I249" s="5" t="s">
        <v>45</v>
      </c>
      <c r="J249" s="5" t="s">
        <v>29</v>
      </c>
      <c r="K249" s="5" t="s">
        <v>48</v>
      </c>
      <c r="L249" s="5" t="s">
        <v>31</v>
      </c>
      <c r="M249" s="5" t="s">
        <v>32</v>
      </c>
      <c r="N249" s="5" t="s">
        <v>16</v>
      </c>
    </row>
    <row r="250" spans="1:14" ht="15.75" customHeight="1" x14ac:dyDescent="0.2">
      <c r="A250" s="5" t="s">
        <v>46</v>
      </c>
      <c r="B250" s="5">
        <v>0</v>
      </c>
      <c r="C250" s="5">
        <v>0</v>
      </c>
      <c r="D250" s="5" t="s">
        <v>98</v>
      </c>
      <c r="E250" s="5" t="s">
        <v>93</v>
      </c>
      <c r="F250" s="5" t="s">
        <v>92</v>
      </c>
      <c r="G250" s="5" t="s">
        <v>90</v>
      </c>
      <c r="H250" s="5" t="s">
        <v>61</v>
      </c>
      <c r="I250" s="5" t="s">
        <v>46</v>
      </c>
      <c r="J250" s="5" t="s">
        <v>29</v>
      </c>
      <c r="K250" s="5" t="s">
        <v>48</v>
      </c>
      <c r="L250" s="5" t="s">
        <v>31</v>
      </c>
      <c r="M250" s="5" t="s">
        <v>32</v>
      </c>
      <c r="N250" s="5" t="s">
        <v>16</v>
      </c>
    </row>
    <row r="251" spans="1:14" ht="15.75" customHeight="1" x14ac:dyDescent="0.2">
      <c r="A251" s="5" t="s">
        <v>35</v>
      </c>
      <c r="B251" s="5">
        <v>0</v>
      </c>
      <c r="C251" s="5">
        <v>0</v>
      </c>
      <c r="D251" s="5" t="s">
        <v>98</v>
      </c>
      <c r="E251" s="5" t="s">
        <v>93</v>
      </c>
      <c r="F251" s="5" t="s">
        <v>92</v>
      </c>
      <c r="G251" s="5" t="s">
        <v>91</v>
      </c>
      <c r="H251" s="5" t="s">
        <v>61</v>
      </c>
      <c r="I251" s="5" t="s">
        <v>46</v>
      </c>
      <c r="J251" s="5" t="s">
        <v>29</v>
      </c>
      <c r="K251" s="5" t="s">
        <v>48</v>
      </c>
      <c r="L251" s="5" t="s">
        <v>31</v>
      </c>
      <c r="M251" s="5" t="s">
        <v>32</v>
      </c>
      <c r="N251" s="5" t="s">
        <v>16</v>
      </c>
    </row>
    <row r="252" spans="1:14" ht="15.75" customHeight="1" x14ac:dyDescent="0.2">
      <c r="A252" s="5" t="s">
        <v>87</v>
      </c>
      <c r="B252" s="5">
        <v>0</v>
      </c>
      <c r="C252" s="5">
        <v>0</v>
      </c>
      <c r="D252" s="5" t="s">
        <v>99</v>
      </c>
      <c r="E252" s="5" t="s">
        <v>93</v>
      </c>
      <c r="F252" s="5" t="s">
        <v>92</v>
      </c>
      <c r="G252" s="5" t="s">
        <v>89</v>
      </c>
      <c r="H252" s="5" t="s">
        <v>60</v>
      </c>
      <c r="I252" s="5" t="s">
        <v>87</v>
      </c>
      <c r="J252" s="5" t="s">
        <v>29</v>
      </c>
      <c r="K252" s="5" t="s">
        <v>48</v>
      </c>
      <c r="L252" s="5" t="s">
        <v>31</v>
      </c>
      <c r="M252" s="5" t="s">
        <v>32</v>
      </c>
      <c r="N252" s="5" t="s">
        <v>16</v>
      </c>
    </row>
    <row r="253" spans="1:14" ht="15.75" customHeight="1" x14ac:dyDescent="0.2">
      <c r="A253" s="5" t="s">
        <v>34</v>
      </c>
      <c r="B253" s="5">
        <v>0</v>
      </c>
      <c r="C253" s="5">
        <v>0</v>
      </c>
      <c r="D253" s="5" t="s">
        <v>99</v>
      </c>
      <c r="E253" s="5" t="s">
        <v>93</v>
      </c>
      <c r="F253" s="5" t="s">
        <v>92</v>
      </c>
      <c r="G253" s="5" t="s">
        <v>90</v>
      </c>
      <c r="H253" s="5" t="s">
        <v>60</v>
      </c>
      <c r="I253" s="5" t="s">
        <v>34</v>
      </c>
      <c r="J253" s="5" t="s">
        <v>29</v>
      </c>
      <c r="K253" s="5" t="s">
        <v>48</v>
      </c>
      <c r="L253" s="5" t="s">
        <v>31</v>
      </c>
      <c r="M253" s="5" t="s">
        <v>32</v>
      </c>
      <c r="N253" s="5" t="s">
        <v>16</v>
      </c>
    </row>
    <row r="254" spans="1:14" ht="15.75" customHeight="1" x14ac:dyDescent="0.2">
      <c r="A254" s="5" t="s">
        <v>35</v>
      </c>
      <c r="B254" s="5">
        <v>0</v>
      </c>
      <c r="C254" s="5">
        <v>0</v>
      </c>
      <c r="D254" s="5" t="s">
        <v>99</v>
      </c>
      <c r="E254" s="5" t="s">
        <v>93</v>
      </c>
      <c r="F254" s="5" t="s">
        <v>92</v>
      </c>
      <c r="G254" s="5" t="s">
        <v>91</v>
      </c>
      <c r="H254" s="5" t="s">
        <v>60</v>
      </c>
      <c r="I254" s="5" t="s">
        <v>34</v>
      </c>
      <c r="J254" s="5" t="s">
        <v>29</v>
      </c>
      <c r="K254" s="5" t="s">
        <v>48</v>
      </c>
      <c r="L254" s="5" t="s">
        <v>31</v>
      </c>
      <c r="M254" s="5" t="s">
        <v>32</v>
      </c>
      <c r="N254" s="5" t="s">
        <v>16</v>
      </c>
    </row>
    <row r="255" spans="1:14" ht="15.75" customHeight="1" x14ac:dyDescent="0.2">
      <c r="A255" s="5" t="s">
        <v>36</v>
      </c>
      <c r="B255" s="5">
        <v>0</v>
      </c>
      <c r="C255" s="5">
        <v>0</v>
      </c>
      <c r="D255" s="5" t="s">
        <v>99</v>
      </c>
      <c r="E255" s="5" t="s">
        <v>93</v>
      </c>
      <c r="F255" s="5" t="s">
        <v>92</v>
      </c>
      <c r="G255" s="5" t="s">
        <v>90</v>
      </c>
      <c r="H255" s="5" t="s">
        <v>60</v>
      </c>
      <c r="I255" s="5" t="s">
        <v>36</v>
      </c>
      <c r="J255" s="5" t="s">
        <v>29</v>
      </c>
      <c r="K255" s="5" t="s">
        <v>48</v>
      </c>
      <c r="L255" s="5" t="s">
        <v>31</v>
      </c>
      <c r="M255" s="5" t="s">
        <v>32</v>
      </c>
      <c r="N255" s="5" t="s">
        <v>16</v>
      </c>
    </row>
    <row r="256" spans="1:14" ht="15.75" customHeight="1" x14ac:dyDescent="0.2">
      <c r="A256" s="5" t="s">
        <v>35</v>
      </c>
      <c r="B256" s="5">
        <v>0</v>
      </c>
      <c r="C256" s="5">
        <v>0</v>
      </c>
      <c r="D256" s="5" t="s">
        <v>99</v>
      </c>
      <c r="E256" s="5" t="s">
        <v>93</v>
      </c>
      <c r="F256" s="5" t="s">
        <v>92</v>
      </c>
      <c r="G256" s="5" t="s">
        <v>91</v>
      </c>
      <c r="H256" s="5" t="s">
        <v>60</v>
      </c>
      <c r="I256" s="5" t="s">
        <v>36</v>
      </c>
      <c r="J256" s="5" t="s">
        <v>29</v>
      </c>
      <c r="K256" s="5" t="s">
        <v>48</v>
      </c>
      <c r="L256" s="5" t="s">
        <v>31</v>
      </c>
      <c r="M256" s="5" t="s">
        <v>32</v>
      </c>
      <c r="N256" s="5" t="s">
        <v>16</v>
      </c>
    </row>
    <row r="257" spans="1:14" ht="15.75" customHeight="1" x14ac:dyDescent="0.2">
      <c r="A257" s="5" t="s">
        <v>37</v>
      </c>
      <c r="B257" s="5">
        <v>0</v>
      </c>
      <c r="C257" s="5">
        <v>0</v>
      </c>
      <c r="D257" s="5" t="s">
        <v>99</v>
      </c>
      <c r="E257" s="5" t="s">
        <v>93</v>
      </c>
      <c r="F257" s="5" t="s">
        <v>92</v>
      </c>
      <c r="G257" s="5" t="s">
        <v>90</v>
      </c>
      <c r="H257" s="5" t="s">
        <v>60</v>
      </c>
      <c r="I257" s="5" t="s">
        <v>37</v>
      </c>
      <c r="J257" s="5" t="s">
        <v>29</v>
      </c>
      <c r="K257" s="5" t="s">
        <v>48</v>
      </c>
      <c r="L257" s="5" t="s">
        <v>31</v>
      </c>
      <c r="M257" s="5" t="s">
        <v>32</v>
      </c>
      <c r="N257" s="5" t="s">
        <v>16</v>
      </c>
    </row>
    <row r="258" spans="1:14" ht="15.75" customHeight="1" x14ac:dyDescent="0.2">
      <c r="A258" s="5" t="s">
        <v>35</v>
      </c>
      <c r="B258" s="5">
        <v>0</v>
      </c>
      <c r="C258" s="5">
        <v>0</v>
      </c>
      <c r="D258" s="5" t="s">
        <v>99</v>
      </c>
      <c r="E258" s="5" t="s">
        <v>93</v>
      </c>
      <c r="F258" s="5" t="s">
        <v>92</v>
      </c>
      <c r="G258" s="5" t="s">
        <v>91</v>
      </c>
      <c r="H258" s="5" t="s">
        <v>60</v>
      </c>
      <c r="I258" s="5" t="s">
        <v>37</v>
      </c>
      <c r="J258" s="5" t="s">
        <v>29</v>
      </c>
      <c r="K258" s="5" t="s">
        <v>48</v>
      </c>
      <c r="L258" s="5" t="s">
        <v>31</v>
      </c>
      <c r="M258" s="5" t="s">
        <v>32</v>
      </c>
      <c r="N258" s="5" t="s">
        <v>16</v>
      </c>
    </row>
    <row r="259" spans="1:14" ht="15.75" customHeight="1" x14ac:dyDescent="0.2">
      <c r="A259" s="5" t="s">
        <v>38</v>
      </c>
      <c r="B259" s="5">
        <v>0</v>
      </c>
      <c r="C259" s="5">
        <v>0</v>
      </c>
      <c r="D259" s="5" t="s">
        <v>99</v>
      </c>
      <c r="E259" s="5" t="s">
        <v>93</v>
      </c>
      <c r="F259" s="5" t="s">
        <v>92</v>
      </c>
      <c r="G259" s="5" t="s">
        <v>90</v>
      </c>
      <c r="H259" s="5" t="s">
        <v>60</v>
      </c>
      <c r="I259" s="5" t="s">
        <v>38</v>
      </c>
      <c r="J259" s="5" t="s">
        <v>29</v>
      </c>
      <c r="K259" s="5" t="s">
        <v>48</v>
      </c>
      <c r="L259" s="5" t="s">
        <v>31</v>
      </c>
      <c r="M259" s="5" t="s">
        <v>32</v>
      </c>
      <c r="N259" s="5" t="s">
        <v>16</v>
      </c>
    </row>
    <row r="260" spans="1:14" ht="15.75" customHeight="1" x14ac:dyDescent="0.2">
      <c r="A260" s="5" t="s">
        <v>35</v>
      </c>
      <c r="B260" s="5">
        <v>0</v>
      </c>
      <c r="C260" s="5">
        <v>0</v>
      </c>
      <c r="D260" s="5" t="s">
        <v>99</v>
      </c>
      <c r="E260" s="5" t="s">
        <v>93</v>
      </c>
      <c r="F260" s="5" t="s">
        <v>92</v>
      </c>
      <c r="G260" s="5" t="s">
        <v>91</v>
      </c>
      <c r="H260" s="5" t="s">
        <v>60</v>
      </c>
      <c r="I260" s="5" t="s">
        <v>38</v>
      </c>
      <c r="J260" s="5" t="s">
        <v>29</v>
      </c>
      <c r="K260" s="5" t="s">
        <v>48</v>
      </c>
      <c r="L260" s="5" t="s">
        <v>31</v>
      </c>
      <c r="M260" s="5" t="s">
        <v>32</v>
      </c>
      <c r="N260" s="5" t="s">
        <v>16</v>
      </c>
    </row>
    <row r="261" spans="1:14" ht="15.75" customHeight="1" x14ac:dyDescent="0.2">
      <c r="A261" s="5" t="s">
        <v>39</v>
      </c>
      <c r="B261" s="5">
        <v>0</v>
      </c>
      <c r="C261" s="5">
        <v>0</v>
      </c>
      <c r="D261" s="5" t="s">
        <v>99</v>
      </c>
      <c r="E261" s="5" t="s">
        <v>93</v>
      </c>
      <c r="F261" s="5" t="s">
        <v>92</v>
      </c>
      <c r="G261" s="5" t="s">
        <v>90</v>
      </c>
      <c r="H261" s="5" t="s">
        <v>60</v>
      </c>
      <c r="I261" s="5" t="s">
        <v>39</v>
      </c>
      <c r="J261" s="5" t="s">
        <v>29</v>
      </c>
      <c r="K261" s="5" t="s">
        <v>48</v>
      </c>
      <c r="L261" s="5" t="s">
        <v>31</v>
      </c>
      <c r="M261" s="5" t="s">
        <v>32</v>
      </c>
      <c r="N261" s="5" t="s">
        <v>16</v>
      </c>
    </row>
    <row r="262" spans="1:14" ht="15.75" customHeight="1" x14ac:dyDescent="0.2">
      <c r="A262" s="5" t="s">
        <v>35</v>
      </c>
      <c r="B262" s="5">
        <v>0</v>
      </c>
      <c r="C262" s="5">
        <v>0</v>
      </c>
      <c r="D262" s="5" t="s">
        <v>99</v>
      </c>
      <c r="E262" s="5" t="s">
        <v>93</v>
      </c>
      <c r="F262" s="5" t="s">
        <v>92</v>
      </c>
      <c r="G262" s="5" t="s">
        <v>91</v>
      </c>
      <c r="H262" s="5" t="s">
        <v>60</v>
      </c>
      <c r="I262" s="5" t="s">
        <v>39</v>
      </c>
      <c r="J262" s="5" t="s">
        <v>29</v>
      </c>
      <c r="K262" s="5" t="s">
        <v>48</v>
      </c>
      <c r="L262" s="5" t="s">
        <v>31</v>
      </c>
      <c r="M262" s="5" t="s">
        <v>32</v>
      </c>
      <c r="N262" s="5" t="s">
        <v>16</v>
      </c>
    </row>
    <row r="263" spans="1:14" ht="15.75" customHeight="1" x14ac:dyDescent="0.2">
      <c r="A263" s="5" t="s">
        <v>40</v>
      </c>
      <c r="B263" s="5">
        <v>0</v>
      </c>
      <c r="C263" s="5">
        <v>0</v>
      </c>
      <c r="D263" s="5" t="s">
        <v>99</v>
      </c>
      <c r="E263" s="5" t="s">
        <v>93</v>
      </c>
      <c r="F263" s="5" t="s">
        <v>92</v>
      </c>
      <c r="G263" s="5" t="s">
        <v>90</v>
      </c>
      <c r="H263" s="5" t="s">
        <v>60</v>
      </c>
      <c r="I263" s="5" t="s">
        <v>40</v>
      </c>
      <c r="J263" s="5" t="s">
        <v>29</v>
      </c>
      <c r="K263" s="5" t="s">
        <v>48</v>
      </c>
      <c r="L263" s="5" t="s">
        <v>31</v>
      </c>
      <c r="M263" s="5" t="s">
        <v>32</v>
      </c>
      <c r="N263" s="5" t="s">
        <v>16</v>
      </c>
    </row>
    <row r="264" spans="1:14" ht="15.75" customHeight="1" x14ac:dyDescent="0.2">
      <c r="A264" s="5" t="s">
        <v>35</v>
      </c>
      <c r="B264" s="5">
        <v>0</v>
      </c>
      <c r="C264" s="5">
        <v>0</v>
      </c>
      <c r="D264" s="5" t="s">
        <v>99</v>
      </c>
      <c r="E264" s="5" t="s">
        <v>93</v>
      </c>
      <c r="F264" s="5" t="s">
        <v>92</v>
      </c>
      <c r="G264" s="5" t="s">
        <v>91</v>
      </c>
      <c r="H264" s="5" t="s">
        <v>60</v>
      </c>
      <c r="I264" s="5" t="s">
        <v>40</v>
      </c>
      <c r="J264" s="5" t="s">
        <v>29</v>
      </c>
      <c r="K264" s="5" t="s">
        <v>48</v>
      </c>
      <c r="L264" s="5" t="s">
        <v>31</v>
      </c>
      <c r="M264" s="5" t="s">
        <v>32</v>
      </c>
      <c r="N264" s="5" t="s">
        <v>16</v>
      </c>
    </row>
    <row r="265" spans="1:14" ht="15.75" customHeight="1" x14ac:dyDescent="0.2">
      <c r="A265" s="5" t="s">
        <v>41</v>
      </c>
      <c r="B265" s="5">
        <v>0</v>
      </c>
      <c r="C265" s="5">
        <v>0</v>
      </c>
      <c r="D265" s="5" t="s">
        <v>99</v>
      </c>
      <c r="E265" s="5" t="s">
        <v>93</v>
      </c>
      <c r="F265" s="5" t="s">
        <v>92</v>
      </c>
      <c r="G265" s="5" t="s">
        <v>90</v>
      </c>
      <c r="H265" s="5" t="s">
        <v>60</v>
      </c>
      <c r="I265" s="5" t="s">
        <v>41</v>
      </c>
      <c r="J265" s="5" t="s">
        <v>29</v>
      </c>
      <c r="K265" s="5" t="s">
        <v>48</v>
      </c>
      <c r="L265" s="5" t="s">
        <v>31</v>
      </c>
      <c r="M265" s="5" t="s">
        <v>32</v>
      </c>
      <c r="N265" s="5" t="s">
        <v>16</v>
      </c>
    </row>
    <row r="266" spans="1:14" ht="15.75" customHeight="1" x14ac:dyDescent="0.2">
      <c r="A266" s="5" t="s">
        <v>35</v>
      </c>
      <c r="B266" s="5">
        <v>0</v>
      </c>
      <c r="C266" s="5">
        <v>0</v>
      </c>
      <c r="D266" s="5" t="s">
        <v>99</v>
      </c>
      <c r="E266" s="5" t="s">
        <v>93</v>
      </c>
      <c r="F266" s="5" t="s">
        <v>92</v>
      </c>
      <c r="G266" s="5" t="s">
        <v>91</v>
      </c>
      <c r="H266" s="5" t="s">
        <v>60</v>
      </c>
      <c r="I266" s="5" t="s">
        <v>41</v>
      </c>
      <c r="J266" s="5" t="s">
        <v>29</v>
      </c>
      <c r="K266" s="5" t="s">
        <v>48</v>
      </c>
      <c r="L266" s="5" t="s">
        <v>31</v>
      </c>
      <c r="M266" s="5" t="s">
        <v>32</v>
      </c>
      <c r="N266" s="5" t="s">
        <v>16</v>
      </c>
    </row>
    <row r="267" spans="1:14" ht="15.75" customHeight="1" x14ac:dyDescent="0.2">
      <c r="A267" s="5" t="s">
        <v>42</v>
      </c>
      <c r="B267" s="5">
        <v>0</v>
      </c>
      <c r="C267" s="5">
        <v>0</v>
      </c>
      <c r="D267" s="5" t="s">
        <v>99</v>
      </c>
      <c r="E267" s="5" t="s">
        <v>93</v>
      </c>
      <c r="F267" s="5" t="s">
        <v>92</v>
      </c>
      <c r="G267" s="5" t="s">
        <v>90</v>
      </c>
      <c r="H267" s="5" t="s">
        <v>60</v>
      </c>
      <c r="I267" s="5" t="s">
        <v>42</v>
      </c>
      <c r="J267" s="5" t="s">
        <v>29</v>
      </c>
      <c r="K267" s="5" t="s">
        <v>48</v>
      </c>
      <c r="L267" s="5" t="s">
        <v>31</v>
      </c>
      <c r="M267" s="5" t="s">
        <v>32</v>
      </c>
      <c r="N267" s="5" t="s">
        <v>16</v>
      </c>
    </row>
    <row r="268" spans="1:14" ht="15.75" customHeight="1" x14ac:dyDescent="0.2">
      <c r="A268" s="5" t="s">
        <v>35</v>
      </c>
      <c r="B268" s="5">
        <v>0</v>
      </c>
      <c r="C268" s="5">
        <v>0</v>
      </c>
      <c r="D268" s="5" t="s">
        <v>99</v>
      </c>
      <c r="E268" s="5" t="s">
        <v>93</v>
      </c>
      <c r="F268" s="5" t="s">
        <v>92</v>
      </c>
      <c r="G268" s="5" t="s">
        <v>91</v>
      </c>
      <c r="H268" s="5" t="s">
        <v>60</v>
      </c>
      <c r="I268" s="5" t="s">
        <v>42</v>
      </c>
      <c r="J268" s="5" t="s">
        <v>29</v>
      </c>
      <c r="K268" s="5" t="s">
        <v>48</v>
      </c>
      <c r="L268" s="5" t="s">
        <v>31</v>
      </c>
      <c r="M268" s="5" t="s">
        <v>32</v>
      </c>
      <c r="N268" s="5" t="s">
        <v>16</v>
      </c>
    </row>
    <row r="269" spans="1:14" ht="15.75" customHeight="1" x14ac:dyDescent="0.2">
      <c r="A269" s="5" t="s">
        <v>43</v>
      </c>
      <c r="B269" s="5">
        <v>0</v>
      </c>
      <c r="C269" s="5">
        <v>0</v>
      </c>
      <c r="D269" s="5" t="s">
        <v>99</v>
      </c>
      <c r="E269" s="5" t="s">
        <v>93</v>
      </c>
      <c r="F269" s="5" t="s">
        <v>92</v>
      </c>
      <c r="G269" s="5" t="s">
        <v>90</v>
      </c>
      <c r="H269" s="5" t="s">
        <v>60</v>
      </c>
      <c r="I269" s="5" t="s">
        <v>43</v>
      </c>
      <c r="J269" s="5" t="s">
        <v>29</v>
      </c>
      <c r="K269" s="5" t="s">
        <v>48</v>
      </c>
      <c r="L269" s="5" t="s">
        <v>31</v>
      </c>
      <c r="M269" s="5" t="s">
        <v>32</v>
      </c>
      <c r="N269" s="5" t="s">
        <v>16</v>
      </c>
    </row>
    <row r="270" spans="1:14" ht="15.75" customHeight="1" x14ac:dyDescent="0.2">
      <c r="A270" s="5" t="s">
        <v>35</v>
      </c>
      <c r="B270" s="5">
        <v>0</v>
      </c>
      <c r="C270" s="5">
        <v>0</v>
      </c>
      <c r="D270" s="5" t="s">
        <v>99</v>
      </c>
      <c r="E270" s="5" t="s">
        <v>93</v>
      </c>
      <c r="F270" s="5" t="s">
        <v>92</v>
      </c>
      <c r="G270" s="5" t="s">
        <v>91</v>
      </c>
      <c r="H270" s="5" t="s">
        <v>60</v>
      </c>
      <c r="I270" s="5" t="s">
        <v>43</v>
      </c>
      <c r="J270" s="5" t="s">
        <v>29</v>
      </c>
      <c r="K270" s="5" t="s">
        <v>48</v>
      </c>
      <c r="L270" s="5" t="s">
        <v>31</v>
      </c>
      <c r="M270" s="5" t="s">
        <v>32</v>
      </c>
      <c r="N270" s="5" t="s">
        <v>16</v>
      </c>
    </row>
    <row r="271" spans="1:14" ht="15.75" customHeight="1" x14ac:dyDescent="0.2">
      <c r="A271" s="5" t="s">
        <v>44</v>
      </c>
      <c r="B271" s="5">
        <v>0</v>
      </c>
      <c r="C271" s="5">
        <v>0</v>
      </c>
      <c r="D271" s="5" t="s">
        <v>99</v>
      </c>
      <c r="E271" s="5" t="s">
        <v>93</v>
      </c>
      <c r="F271" s="5" t="s">
        <v>92</v>
      </c>
      <c r="G271" s="5" t="s">
        <v>90</v>
      </c>
      <c r="H271" s="5" t="s">
        <v>60</v>
      </c>
      <c r="I271" s="5" t="s">
        <v>44</v>
      </c>
      <c r="J271" s="5" t="s">
        <v>29</v>
      </c>
      <c r="K271" s="5" t="s">
        <v>48</v>
      </c>
      <c r="L271" s="5" t="s">
        <v>31</v>
      </c>
      <c r="M271" s="5" t="s">
        <v>32</v>
      </c>
      <c r="N271" s="5" t="s">
        <v>16</v>
      </c>
    </row>
    <row r="272" spans="1:14" ht="15.75" customHeight="1" x14ac:dyDescent="0.2">
      <c r="A272" s="5" t="s">
        <v>35</v>
      </c>
      <c r="B272" s="5">
        <v>0</v>
      </c>
      <c r="C272" s="5">
        <v>0</v>
      </c>
      <c r="D272" s="5" t="s">
        <v>99</v>
      </c>
      <c r="E272" s="5" t="s">
        <v>93</v>
      </c>
      <c r="F272" s="5" t="s">
        <v>92</v>
      </c>
      <c r="G272" s="5" t="s">
        <v>91</v>
      </c>
      <c r="H272" s="5" t="s">
        <v>60</v>
      </c>
      <c r="I272" s="5" t="s">
        <v>44</v>
      </c>
      <c r="J272" s="5" t="s">
        <v>29</v>
      </c>
      <c r="K272" s="5" t="s">
        <v>48</v>
      </c>
      <c r="L272" s="5" t="s">
        <v>31</v>
      </c>
      <c r="M272" s="5" t="s">
        <v>32</v>
      </c>
      <c r="N272" s="5" t="s">
        <v>16</v>
      </c>
    </row>
    <row r="273" spans="1:14" ht="15.75" customHeight="1" x14ac:dyDescent="0.2">
      <c r="A273" s="5" t="s">
        <v>45</v>
      </c>
      <c r="B273" s="5">
        <v>0</v>
      </c>
      <c r="C273" s="5">
        <v>0</v>
      </c>
      <c r="D273" s="5" t="s">
        <v>99</v>
      </c>
      <c r="E273" s="5" t="s">
        <v>93</v>
      </c>
      <c r="F273" s="5" t="s">
        <v>92</v>
      </c>
      <c r="G273" s="5" t="s">
        <v>90</v>
      </c>
      <c r="H273" s="5" t="s">
        <v>60</v>
      </c>
      <c r="I273" s="5" t="s">
        <v>45</v>
      </c>
      <c r="J273" s="5" t="s">
        <v>29</v>
      </c>
      <c r="K273" s="5" t="s">
        <v>48</v>
      </c>
      <c r="L273" s="5" t="s">
        <v>31</v>
      </c>
      <c r="M273" s="5" t="s">
        <v>32</v>
      </c>
      <c r="N273" s="5" t="s">
        <v>16</v>
      </c>
    </row>
    <row r="274" spans="1:14" ht="15.75" customHeight="1" x14ac:dyDescent="0.2">
      <c r="A274" s="5" t="s">
        <v>35</v>
      </c>
      <c r="B274" s="5">
        <v>0</v>
      </c>
      <c r="C274" s="5">
        <v>0</v>
      </c>
      <c r="D274" s="5" t="s">
        <v>99</v>
      </c>
      <c r="E274" s="5" t="s">
        <v>93</v>
      </c>
      <c r="F274" s="5" t="s">
        <v>92</v>
      </c>
      <c r="G274" s="5" t="s">
        <v>91</v>
      </c>
      <c r="H274" s="5" t="s">
        <v>60</v>
      </c>
      <c r="I274" s="5" t="s">
        <v>45</v>
      </c>
      <c r="J274" s="5" t="s">
        <v>29</v>
      </c>
      <c r="K274" s="5" t="s">
        <v>48</v>
      </c>
      <c r="L274" s="5" t="s">
        <v>31</v>
      </c>
      <c r="M274" s="5" t="s">
        <v>32</v>
      </c>
      <c r="N274" s="5" t="s">
        <v>16</v>
      </c>
    </row>
    <row r="275" spans="1:14" ht="15.75" customHeight="1" x14ac:dyDescent="0.2">
      <c r="A275" s="5" t="s">
        <v>46</v>
      </c>
      <c r="B275" s="5">
        <v>0</v>
      </c>
      <c r="C275" s="5">
        <v>0</v>
      </c>
      <c r="D275" s="5" t="s">
        <v>99</v>
      </c>
      <c r="E275" s="5" t="s">
        <v>93</v>
      </c>
      <c r="F275" s="5" t="s">
        <v>92</v>
      </c>
      <c r="G275" s="5" t="s">
        <v>90</v>
      </c>
      <c r="H275" s="5" t="s">
        <v>60</v>
      </c>
      <c r="I275" s="5" t="s">
        <v>46</v>
      </c>
      <c r="J275" s="5" t="s">
        <v>29</v>
      </c>
      <c r="K275" s="5" t="s">
        <v>48</v>
      </c>
      <c r="L275" s="5" t="s">
        <v>31</v>
      </c>
      <c r="M275" s="5" t="s">
        <v>32</v>
      </c>
      <c r="N275" s="5" t="s">
        <v>16</v>
      </c>
    </row>
    <row r="276" spans="1:14" ht="15.75" customHeight="1" x14ac:dyDescent="0.2">
      <c r="A276" s="5" t="s">
        <v>35</v>
      </c>
      <c r="B276" s="5">
        <v>0</v>
      </c>
      <c r="C276" s="5">
        <v>0</v>
      </c>
      <c r="D276" s="5" t="s">
        <v>99</v>
      </c>
      <c r="E276" s="5" t="s">
        <v>93</v>
      </c>
      <c r="F276" s="5" t="s">
        <v>92</v>
      </c>
      <c r="G276" s="5" t="s">
        <v>91</v>
      </c>
      <c r="H276" s="5" t="s">
        <v>60</v>
      </c>
      <c r="I276" s="5" t="s">
        <v>46</v>
      </c>
      <c r="J276" s="5" t="s">
        <v>29</v>
      </c>
      <c r="K276" s="5" t="s">
        <v>48</v>
      </c>
      <c r="L276" s="5" t="s">
        <v>31</v>
      </c>
      <c r="M276" s="5" t="s">
        <v>32</v>
      </c>
      <c r="N276" s="5" t="s">
        <v>16</v>
      </c>
    </row>
    <row r="277" spans="1:14" ht="15.75" customHeight="1" x14ac:dyDescent="0.2">
      <c r="A277" s="5" t="s">
        <v>87</v>
      </c>
      <c r="B277" s="5">
        <v>1</v>
      </c>
      <c r="C277" s="5">
        <v>54</v>
      </c>
      <c r="D277" s="5" t="s">
        <v>100</v>
      </c>
      <c r="E277" s="5" t="s">
        <v>93</v>
      </c>
      <c r="F277" s="5" t="s">
        <v>92</v>
      </c>
      <c r="G277" s="5" t="s">
        <v>89</v>
      </c>
      <c r="H277" s="5" t="s">
        <v>61</v>
      </c>
      <c r="I277" s="5" t="s">
        <v>87</v>
      </c>
      <c r="J277" s="5" t="s">
        <v>29</v>
      </c>
      <c r="K277" s="5" t="s">
        <v>48</v>
      </c>
      <c r="L277" s="5" t="s">
        <v>31</v>
      </c>
      <c r="M277" s="5" t="s">
        <v>32</v>
      </c>
      <c r="N277" s="5" t="s">
        <v>16</v>
      </c>
    </row>
    <row r="278" spans="1:14" ht="15.75" customHeight="1" x14ac:dyDescent="0.2">
      <c r="A278" s="5" t="s">
        <v>34</v>
      </c>
      <c r="B278" s="5">
        <v>0</v>
      </c>
      <c r="C278" s="5">
        <v>0</v>
      </c>
      <c r="D278" s="5" t="s">
        <v>100</v>
      </c>
      <c r="E278" s="5" t="s">
        <v>93</v>
      </c>
      <c r="F278" s="5" t="s">
        <v>92</v>
      </c>
      <c r="G278" s="5" t="s">
        <v>90</v>
      </c>
      <c r="H278" s="5" t="s">
        <v>61</v>
      </c>
      <c r="I278" s="5" t="s">
        <v>34</v>
      </c>
      <c r="J278" s="5" t="s">
        <v>29</v>
      </c>
      <c r="K278" s="5" t="s">
        <v>48</v>
      </c>
      <c r="L278" s="5" t="s">
        <v>31</v>
      </c>
      <c r="M278" s="5" t="s">
        <v>32</v>
      </c>
      <c r="N278" s="5" t="s">
        <v>16</v>
      </c>
    </row>
    <row r="279" spans="1:14" ht="15.75" customHeight="1" x14ac:dyDescent="0.2">
      <c r="A279" s="5" t="s">
        <v>35</v>
      </c>
      <c r="B279" s="5">
        <v>0</v>
      </c>
      <c r="C279" s="5">
        <v>0</v>
      </c>
      <c r="D279" s="5" t="s">
        <v>100</v>
      </c>
      <c r="E279" s="5" t="s">
        <v>93</v>
      </c>
      <c r="F279" s="5" t="s">
        <v>92</v>
      </c>
      <c r="G279" s="5" t="s">
        <v>91</v>
      </c>
      <c r="H279" s="5" t="s">
        <v>61</v>
      </c>
      <c r="I279" s="5" t="s">
        <v>34</v>
      </c>
      <c r="J279" s="5" t="s">
        <v>29</v>
      </c>
      <c r="K279" s="5" t="s">
        <v>48</v>
      </c>
      <c r="L279" s="5" t="s">
        <v>31</v>
      </c>
      <c r="M279" s="5" t="s">
        <v>32</v>
      </c>
      <c r="N279" s="5" t="s">
        <v>16</v>
      </c>
    </row>
    <row r="280" spans="1:14" ht="15.75" customHeight="1" x14ac:dyDescent="0.2">
      <c r="A280" s="5" t="s">
        <v>36</v>
      </c>
      <c r="B280" s="5">
        <v>1</v>
      </c>
      <c r="C280" s="5">
        <v>54</v>
      </c>
      <c r="D280" s="5" t="s">
        <v>100</v>
      </c>
      <c r="E280" s="5" t="s">
        <v>93</v>
      </c>
      <c r="F280" s="5" t="s">
        <v>92</v>
      </c>
      <c r="G280" s="5" t="s">
        <v>90</v>
      </c>
      <c r="H280" s="5" t="s">
        <v>61</v>
      </c>
      <c r="I280" s="5" t="s">
        <v>36</v>
      </c>
      <c r="J280" s="5" t="s">
        <v>29</v>
      </c>
      <c r="K280" s="5" t="s">
        <v>48</v>
      </c>
      <c r="L280" s="5" t="s">
        <v>31</v>
      </c>
      <c r="M280" s="5" t="s">
        <v>32</v>
      </c>
      <c r="N280" s="5" t="s">
        <v>16</v>
      </c>
    </row>
    <row r="281" spans="1:14" ht="15.75" customHeight="1" x14ac:dyDescent="0.2">
      <c r="A281" s="5" t="s">
        <v>35</v>
      </c>
      <c r="B281" s="5">
        <v>1</v>
      </c>
      <c r="C281" s="5">
        <v>54</v>
      </c>
      <c r="D281" s="5" t="s">
        <v>100</v>
      </c>
      <c r="E281" s="5" t="s">
        <v>93</v>
      </c>
      <c r="F281" s="5" t="s">
        <v>92</v>
      </c>
      <c r="G281" s="5" t="s">
        <v>91</v>
      </c>
      <c r="H281" s="5" t="s">
        <v>61</v>
      </c>
      <c r="I281" s="5" t="s">
        <v>36</v>
      </c>
      <c r="J281" s="5" t="s">
        <v>29</v>
      </c>
      <c r="K281" s="5" t="s">
        <v>48</v>
      </c>
      <c r="L281" s="5" t="s">
        <v>31</v>
      </c>
      <c r="M281" s="5" t="s">
        <v>32</v>
      </c>
      <c r="N281" s="5" t="s">
        <v>16</v>
      </c>
    </row>
    <row r="282" spans="1:14" ht="15.75" customHeight="1" x14ac:dyDescent="0.2">
      <c r="A282" s="5" t="s">
        <v>37</v>
      </c>
      <c r="B282" s="5">
        <v>0</v>
      </c>
      <c r="C282" s="5">
        <v>0</v>
      </c>
      <c r="D282" s="5" t="s">
        <v>100</v>
      </c>
      <c r="E282" s="5" t="s">
        <v>93</v>
      </c>
      <c r="F282" s="5" t="s">
        <v>92</v>
      </c>
      <c r="G282" s="5" t="s">
        <v>90</v>
      </c>
      <c r="H282" s="5" t="s">
        <v>61</v>
      </c>
      <c r="I282" s="5" t="s">
        <v>37</v>
      </c>
      <c r="J282" s="5" t="s">
        <v>29</v>
      </c>
      <c r="K282" s="5" t="s">
        <v>48</v>
      </c>
      <c r="L282" s="5" t="s">
        <v>31</v>
      </c>
      <c r="M282" s="5" t="s">
        <v>32</v>
      </c>
      <c r="N282" s="5" t="s">
        <v>16</v>
      </c>
    </row>
    <row r="283" spans="1:14" ht="15.75" customHeight="1" x14ac:dyDescent="0.2">
      <c r="A283" s="5" t="s">
        <v>35</v>
      </c>
      <c r="B283" s="5">
        <v>0</v>
      </c>
      <c r="C283" s="5">
        <v>0</v>
      </c>
      <c r="D283" s="5" t="s">
        <v>100</v>
      </c>
      <c r="E283" s="5" t="s">
        <v>93</v>
      </c>
      <c r="F283" s="5" t="s">
        <v>92</v>
      </c>
      <c r="G283" s="5" t="s">
        <v>91</v>
      </c>
      <c r="H283" s="5" t="s">
        <v>61</v>
      </c>
      <c r="I283" s="5" t="s">
        <v>37</v>
      </c>
      <c r="J283" s="5" t="s">
        <v>29</v>
      </c>
      <c r="K283" s="5" t="s">
        <v>48</v>
      </c>
      <c r="L283" s="5" t="s">
        <v>31</v>
      </c>
      <c r="M283" s="5" t="s">
        <v>32</v>
      </c>
      <c r="N283" s="5" t="s">
        <v>16</v>
      </c>
    </row>
    <row r="284" spans="1:14" ht="15.75" customHeight="1" x14ac:dyDescent="0.2">
      <c r="A284" s="5" t="s">
        <v>38</v>
      </c>
      <c r="B284" s="5">
        <v>0</v>
      </c>
      <c r="C284" s="5">
        <v>0</v>
      </c>
      <c r="D284" s="5" t="s">
        <v>100</v>
      </c>
      <c r="E284" s="5" t="s">
        <v>93</v>
      </c>
      <c r="F284" s="5" t="s">
        <v>92</v>
      </c>
      <c r="G284" s="5" t="s">
        <v>90</v>
      </c>
      <c r="H284" s="5" t="s">
        <v>61</v>
      </c>
      <c r="I284" s="5" t="s">
        <v>38</v>
      </c>
      <c r="J284" s="5" t="s">
        <v>29</v>
      </c>
      <c r="K284" s="5" t="s">
        <v>48</v>
      </c>
      <c r="L284" s="5" t="s">
        <v>31</v>
      </c>
      <c r="M284" s="5" t="s">
        <v>32</v>
      </c>
      <c r="N284" s="5" t="s">
        <v>16</v>
      </c>
    </row>
    <row r="285" spans="1:14" ht="15.75" customHeight="1" x14ac:dyDescent="0.2">
      <c r="A285" s="5" t="s">
        <v>35</v>
      </c>
      <c r="B285" s="5">
        <v>0</v>
      </c>
      <c r="C285" s="5">
        <v>0</v>
      </c>
      <c r="D285" s="5" t="s">
        <v>100</v>
      </c>
      <c r="E285" s="5" t="s">
        <v>93</v>
      </c>
      <c r="F285" s="5" t="s">
        <v>92</v>
      </c>
      <c r="G285" s="5" t="s">
        <v>91</v>
      </c>
      <c r="H285" s="5" t="s">
        <v>61</v>
      </c>
      <c r="I285" s="5" t="s">
        <v>38</v>
      </c>
      <c r="J285" s="5" t="s">
        <v>29</v>
      </c>
      <c r="K285" s="5" t="s">
        <v>48</v>
      </c>
      <c r="L285" s="5" t="s">
        <v>31</v>
      </c>
      <c r="M285" s="5" t="s">
        <v>32</v>
      </c>
      <c r="N285" s="5" t="s">
        <v>16</v>
      </c>
    </row>
    <row r="286" spans="1:14" ht="15.75" customHeight="1" x14ac:dyDescent="0.2">
      <c r="A286" s="5" t="s">
        <v>39</v>
      </c>
      <c r="B286" s="5">
        <v>0</v>
      </c>
      <c r="C286" s="5">
        <v>0</v>
      </c>
      <c r="D286" s="5" t="s">
        <v>100</v>
      </c>
      <c r="E286" s="5" t="s">
        <v>93</v>
      </c>
      <c r="F286" s="5" t="s">
        <v>92</v>
      </c>
      <c r="G286" s="5" t="s">
        <v>90</v>
      </c>
      <c r="H286" s="5" t="s">
        <v>61</v>
      </c>
      <c r="I286" s="5" t="s">
        <v>39</v>
      </c>
      <c r="J286" s="5" t="s">
        <v>29</v>
      </c>
      <c r="K286" s="5" t="s">
        <v>48</v>
      </c>
      <c r="L286" s="5" t="s">
        <v>31</v>
      </c>
      <c r="M286" s="5" t="s">
        <v>32</v>
      </c>
      <c r="N286" s="5" t="s">
        <v>16</v>
      </c>
    </row>
    <row r="287" spans="1:14" ht="15.75" customHeight="1" x14ac:dyDescent="0.2">
      <c r="A287" s="5" t="s">
        <v>35</v>
      </c>
      <c r="B287" s="5">
        <v>0</v>
      </c>
      <c r="C287" s="5">
        <v>0</v>
      </c>
      <c r="D287" s="5" t="s">
        <v>100</v>
      </c>
      <c r="E287" s="5" t="s">
        <v>93</v>
      </c>
      <c r="F287" s="5" t="s">
        <v>92</v>
      </c>
      <c r="G287" s="5" t="s">
        <v>91</v>
      </c>
      <c r="H287" s="5" t="s">
        <v>61</v>
      </c>
      <c r="I287" s="5" t="s">
        <v>39</v>
      </c>
      <c r="J287" s="5" t="s">
        <v>29</v>
      </c>
      <c r="K287" s="5" t="s">
        <v>48</v>
      </c>
      <c r="L287" s="5" t="s">
        <v>31</v>
      </c>
      <c r="M287" s="5" t="s">
        <v>32</v>
      </c>
      <c r="N287" s="5" t="s">
        <v>16</v>
      </c>
    </row>
    <row r="288" spans="1:14" ht="15.75" customHeight="1" x14ac:dyDescent="0.2">
      <c r="A288" s="5" t="s">
        <v>40</v>
      </c>
      <c r="B288" s="5">
        <v>0</v>
      </c>
      <c r="C288" s="5">
        <v>0</v>
      </c>
      <c r="D288" s="5" t="s">
        <v>100</v>
      </c>
      <c r="E288" s="5" t="s">
        <v>93</v>
      </c>
      <c r="F288" s="5" t="s">
        <v>92</v>
      </c>
      <c r="G288" s="5" t="s">
        <v>90</v>
      </c>
      <c r="H288" s="5" t="s">
        <v>61</v>
      </c>
      <c r="I288" s="5" t="s">
        <v>40</v>
      </c>
      <c r="J288" s="5" t="s">
        <v>29</v>
      </c>
      <c r="K288" s="5" t="s">
        <v>48</v>
      </c>
      <c r="L288" s="5" t="s">
        <v>31</v>
      </c>
      <c r="M288" s="5" t="s">
        <v>32</v>
      </c>
      <c r="N288" s="5" t="s">
        <v>16</v>
      </c>
    </row>
    <row r="289" spans="1:14" ht="15.75" customHeight="1" x14ac:dyDescent="0.2">
      <c r="A289" s="5" t="s">
        <v>35</v>
      </c>
      <c r="B289" s="5">
        <v>0</v>
      </c>
      <c r="C289" s="5">
        <v>0</v>
      </c>
      <c r="D289" s="5" t="s">
        <v>100</v>
      </c>
      <c r="E289" s="5" t="s">
        <v>93</v>
      </c>
      <c r="F289" s="5" t="s">
        <v>92</v>
      </c>
      <c r="G289" s="5" t="s">
        <v>91</v>
      </c>
      <c r="H289" s="5" t="s">
        <v>61</v>
      </c>
      <c r="I289" s="5" t="s">
        <v>40</v>
      </c>
      <c r="J289" s="5" t="s">
        <v>29</v>
      </c>
      <c r="K289" s="5" t="s">
        <v>48</v>
      </c>
      <c r="L289" s="5" t="s">
        <v>31</v>
      </c>
      <c r="M289" s="5" t="s">
        <v>32</v>
      </c>
      <c r="N289" s="5" t="s">
        <v>16</v>
      </c>
    </row>
    <row r="290" spans="1:14" ht="15.75" customHeight="1" x14ac:dyDescent="0.2">
      <c r="A290" s="5" t="s">
        <v>41</v>
      </c>
      <c r="B290" s="5">
        <v>0</v>
      </c>
      <c r="C290" s="5">
        <v>0</v>
      </c>
      <c r="D290" s="5" t="s">
        <v>100</v>
      </c>
      <c r="E290" s="5" t="s">
        <v>93</v>
      </c>
      <c r="F290" s="5" t="s">
        <v>92</v>
      </c>
      <c r="G290" s="5" t="s">
        <v>90</v>
      </c>
      <c r="H290" s="5" t="s">
        <v>61</v>
      </c>
      <c r="I290" s="5" t="s">
        <v>41</v>
      </c>
      <c r="J290" s="5" t="s">
        <v>29</v>
      </c>
      <c r="K290" s="5" t="s">
        <v>48</v>
      </c>
      <c r="L290" s="5" t="s">
        <v>31</v>
      </c>
      <c r="M290" s="5" t="s">
        <v>32</v>
      </c>
      <c r="N290" s="5" t="s">
        <v>16</v>
      </c>
    </row>
    <row r="291" spans="1:14" ht="15.75" customHeight="1" x14ac:dyDescent="0.2">
      <c r="A291" s="5" t="s">
        <v>35</v>
      </c>
      <c r="B291" s="5">
        <v>0</v>
      </c>
      <c r="C291" s="5">
        <v>0</v>
      </c>
      <c r="D291" s="5" t="s">
        <v>100</v>
      </c>
      <c r="E291" s="5" t="s">
        <v>93</v>
      </c>
      <c r="F291" s="5" t="s">
        <v>92</v>
      </c>
      <c r="G291" s="5" t="s">
        <v>91</v>
      </c>
      <c r="H291" s="5" t="s">
        <v>61</v>
      </c>
      <c r="I291" s="5" t="s">
        <v>41</v>
      </c>
      <c r="J291" s="5" t="s">
        <v>29</v>
      </c>
      <c r="K291" s="5" t="s">
        <v>48</v>
      </c>
      <c r="L291" s="5" t="s">
        <v>31</v>
      </c>
      <c r="M291" s="5" t="s">
        <v>32</v>
      </c>
      <c r="N291" s="5" t="s">
        <v>16</v>
      </c>
    </row>
    <row r="292" spans="1:14" ht="15.75" customHeight="1" x14ac:dyDescent="0.2">
      <c r="A292" s="5" t="s">
        <v>42</v>
      </c>
      <c r="B292" s="5">
        <v>0</v>
      </c>
      <c r="C292" s="5">
        <v>0</v>
      </c>
      <c r="D292" s="5" t="s">
        <v>100</v>
      </c>
      <c r="E292" s="5" t="s">
        <v>93</v>
      </c>
      <c r="F292" s="5" t="s">
        <v>92</v>
      </c>
      <c r="G292" s="5" t="s">
        <v>90</v>
      </c>
      <c r="H292" s="5" t="s">
        <v>61</v>
      </c>
      <c r="I292" s="5" t="s">
        <v>42</v>
      </c>
      <c r="J292" s="5" t="s">
        <v>29</v>
      </c>
      <c r="K292" s="5" t="s">
        <v>48</v>
      </c>
      <c r="L292" s="5" t="s">
        <v>31</v>
      </c>
      <c r="M292" s="5" t="s">
        <v>32</v>
      </c>
      <c r="N292" s="5" t="s">
        <v>16</v>
      </c>
    </row>
    <row r="293" spans="1:14" ht="15.75" customHeight="1" x14ac:dyDescent="0.2">
      <c r="A293" s="5" t="s">
        <v>35</v>
      </c>
      <c r="B293" s="5">
        <v>0</v>
      </c>
      <c r="C293" s="5">
        <v>0</v>
      </c>
      <c r="D293" s="5" t="s">
        <v>100</v>
      </c>
      <c r="E293" s="5" t="s">
        <v>93</v>
      </c>
      <c r="F293" s="5" t="s">
        <v>92</v>
      </c>
      <c r="G293" s="5" t="s">
        <v>91</v>
      </c>
      <c r="H293" s="5" t="s">
        <v>61</v>
      </c>
      <c r="I293" s="5" t="s">
        <v>42</v>
      </c>
      <c r="J293" s="5" t="s">
        <v>29</v>
      </c>
      <c r="K293" s="5" t="s">
        <v>48</v>
      </c>
      <c r="L293" s="5" t="s">
        <v>31</v>
      </c>
      <c r="M293" s="5" t="s">
        <v>32</v>
      </c>
      <c r="N293" s="5" t="s">
        <v>16</v>
      </c>
    </row>
    <row r="294" spans="1:14" ht="15.75" customHeight="1" x14ac:dyDescent="0.2">
      <c r="A294" s="5" t="s">
        <v>43</v>
      </c>
      <c r="B294" s="5">
        <v>0</v>
      </c>
      <c r="C294" s="5">
        <v>0</v>
      </c>
      <c r="D294" s="5" t="s">
        <v>100</v>
      </c>
      <c r="E294" s="5" t="s">
        <v>93</v>
      </c>
      <c r="F294" s="5" t="s">
        <v>92</v>
      </c>
      <c r="G294" s="5" t="s">
        <v>90</v>
      </c>
      <c r="H294" s="5" t="s">
        <v>61</v>
      </c>
      <c r="I294" s="5" t="s">
        <v>43</v>
      </c>
      <c r="J294" s="5" t="s">
        <v>29</v>
      </c>
      <c r="K294" s="5" t="s">
        <v>48</v>
      </c>
      <c r="L294" s="5" t="s">
        <v>31</v>
      </c>
      <c r="M294" s="5" t="s">
        <v>32</v>
      </c>
      <c r="N294" s="5" t="s">
        <v>16</v>
      </c>
    </row>
    <row r="295" spans="1:14" ht="15.75" customHeight="1" x14ac:dyDescent="0.2">
      <c r="A295" s="5" t="s">
        <v>35</v>
      </c>
      <c r="B295" s="5">
        <v>0</v>
      </c>
      <c r="C295" s="5">
        <v>0</v>
      </c>
      <c r="D295" s="5" t="s">
        <v>100</v>
      </c>
      <c r="E295" s="5" t="s">
        <v>93</v>
      </c>
      <c r="F295" s="5" t="s">
        <v>92</v>
      </c>
      <c r="G295" s="5" t="s">
        <v>91</v>
      </c>
      <c r="H295" s="5" t="s">
        <v>61</v>
      </c>
      <c r="I295" s="5" t="s">
        <v>43</v>
      </c>
      <c r="J295" s="5" t="s">
        <v>29</v>
      </c>
      <c r="K295" s="5" t="s">
        <v>48</v>
      </c>
      <c r="L295" s="5" t="s">
        <v>31</v>
      </c>
      <c r="M295" s="5" t="s">
        <v>32</v>
      </c>
      <c r="N295" s="5" t="s">
        <v>16</v>
      </c>
    </row>
    <row r="296" spans="1:14" ht="15.75" customHeight="1" x14ac:dyDescent="0.2">
      <c r="A296" s="5" t="s">
        <v>44</v>
      </c>
      <c r="B296" s="5">
        <v>0</v>
      </c>
      <c r="C296" s="5">
        <v>0</v>
      </c>
      <c r="D296" s="5" t="s">
        <v>100</v>
      </c>
      <c r="E296" s="5" t="s">
        <v>93</v>
      </c>
      <c r="F296" s="5" t="s">
        <v>92</v>
      </c>
      <c r="G296" s="5" t="s">
        <v>90</v>
      </c>
      <c r="H296" s="5" t="s">
        <v>61</v>
      </c>
      <c r="I296" s="5" t="s">
        <v>44</v>
      </c>
      <c r="J296" s="5" t="s">
        <v>29</v>
      </c>
      <c r="K296" s="5" t="s">
        <v>48</v>
      </c>
      <c r="L296" s="5" t="s">
        <v>31</v>
      </c>
      <c r="M296" s="5" t="s">
        <v>32</v>
      </c>
      <c r="N296" s="5" t="s">
        <v>16</v>
      </c>
    </row>
    <row r="297" spans="1:14" ht="15.75" customHeight="1" x14ac:dyDescent="0.2">
      <c r="A297" s="5" t="s">
        <v>35</v>
      </c>
      <c r="B297" s="5">
        <v>0</v>
      </c>
      <c r="C297" s="5">
        <v>0</v>
      </c>
      <c r="D297" s="5" t="s">
        <v>100</v>
      </c>
      <c r="E297" s="5" t="s">
        <v>93</v>
      </c>
      <c r="F297" s="5" t="s">
        <v>92</v>
      </c>
      <c r="G297" s="5" t="s">
        <v>91</v>
      </c>
      <c r="H297" s="5" t="s">
        <v>61</v>
      </c>
      <c r="I297" s="5" t="s">
        <v>44</v>
      </c>
      <c r="J297" s="5" t="s">
        <v>29</v>
      </c>
      <c r="K297" s="5" t="s">
        <v>48</v>
      </c>
      <c r="L297" s="5" t="s">
        <v>31</v>
      </c>
      <c r="M297" s="5" t="s">
        <v>32</v>
      </c>
      <c r="N297" s="5" t="s">
        <v>16</v>
      </c>
    </row>
    <row r="298" spans="1:14" ht="15.75" customHeight="1" x14ac:dyDescent="0.2">
      <c r="A298" s="5" t="s">
        <v>45</v>
      </c>
      <c r="B298" s="5">
        <v>0</v>
      </c>
      <c r="C298" s="5">
        <v>0</v>
      </c>
      <c r="D298" s="5" t="s">
        <v>100</v>
      </c>
      <c r="E298" s="5" t="s">
        <v>93</v>
      </c>
      <c r="F298" s="5" t="s">
        <v>92</v>
      </c>
      <c r="G298" s="5" t="s">
        <v>90</v>
      </c>
      <c r="H298" s="5" t="s">
        <v>61</v>
      </c>
      <c r="I298" s="5" t="s">
        <v>45</v>
      </c>
      <c r="J298" s="5" t="s">
        <v>29</v>
      </c>
      <c r="K298" s="5" t="s">
        <v>48</v>
      </c>
      <c r="L298" s="5" t="s">
        <v>31</v>
      </c>
      <c r="M298" s="5" t="s">
        <v>32</v>
      </c>
      <c r="N298" s="5" t="s">
        <v>16</v>
      </c>
    </row>
    <row r="299" spans="1:14" ht="15.75" customHeight="1" x14ac:dyDescent="0.2">
      <c r="A299" s="5" t="s">
        <v>35</v>
      </c>
      <c r="B299" s="5">
        <v>0</v>
      </c>
      <c r="C299" s="5">
        <v>0</v>
      </c>
      <c r="D299" s="5" t="s">
        <v>100</v>
      </c>
      <c r="E299" s="5" t="s">
        <v>93</v>
      </c>
      <c r="F299" s="5" t="s">
        <v>92</v>
      </c>
      <c r="G299" s="5" t="s">
        <v>91</v>
      </c>
      <c r="H299" s="5" t="s">
        <v>61</v>
      </c>
      <c r="I299" s="5" t="s">
        <v>45</v>
      </c>
      <c r="J299" s="5" t="s">
        <v>29</v>
      </c>
      <c r="K299" s="5" t="s">
        <v>48</v>
      </c>
      <c r="L299" s="5" t="s">
        <v>31</v>
      </c>
      <c r="M299" s="5" t="s">
        <v>32</v>
      </c>
      <c r="N299" s="5" t="s">
        <v>16</v>
      </c>
    </row>
    <row r="300" spans="1:14" ht="15.75" customHeight="1" x14ac:dyDescent="0.2">
      <c r="A300" s="5" t="s">
        <v>46</v>
      </c>
      <c r="B300" s="5">
        <v>0</v>
      </c>
      <c r="C300" s="5">
        <v>0</v>
      </c>
      <c r="D300" s="5" t="s">
        <v>100</v>
      </c>
      <c r="E300" s="5" t="s">
        <v>93</v>
      </c>
      <c r="F300" s="5" t="s">
        <v>92</v>
      </c>
      <c r="G300" s="5" t="s">
        <v>90</v>
      </c>
      <c r="H300" s="5" t="s">
        <v>61</v>
      </c>
      <c r="I300" s="5" t="s">
        <v>46</v>
      </c>
      <c r="J300" s="5" t="s">
        <v>29</v>
      </c>
      <c r="K300" s="5" t="s">
        <v>48</v>
      </c>
      <c r="L300" s="5" t="s">
        <v>31</v>
      </c>
      <c r="M300" s="5" t="s">
        <v>32</v>
      </c>
      <c r="N300" s="5" t="s">
        <v>16</v>
      </c>
    </row>
    <row r="301" spans="1:14" ht="15.75" customHeight="1" x14ac:dyDescent="0.2">
      <c r="A301" s="5" t="s">
        <v>35</v>
      </c>
      <c r="B301" s="5">
        <v>0</v>
      </c>
      <c r="C301" s="5">
        <v>0</v>
      </c>
      <c r="D301" s="5" t="s">
        <v>100</v>
      </c>
      <c r="E301" s="5" t="s">
        <v>93</v>
      </c>
      <c r="F301" s="5" t="s">
        <v>92</v>
      </c>
      <c r="G301" s="5" t="s">
        <v>91</v>
      </c>
      <c r="H301" s="5" t="s">
        <v>61</v>
      </c>
      <c r="I301" s="5" t="s">
        <v>46</v>
      </c>
      <c r="J301" s="5" t="s">
        <v>29</v>
      </c>
      <c r="K301" s="5" t="s">
        <v>48</v>
      </c>
      <c r="L301" s="5" t="s">
        <v>31</v>
      </c>
      <c r="M301" s="5" t="s">
        <v>32</v>
      </c>
      <c r="N301" s="5" t="s">
        <v>16</v>
      </c>
    </row>
    <row r="302" spans="1:14" ht="15.75" customHeight="1" x14ac:dyDescent="0.2">
      <c r="A302" s="5" t="s">
        <v>87</v>
      </c>
      <c r="B302" s="5">
        <v>0</v>
      </c>
      <c r="C302" s="5">
        <v>0</v>
      </c>
      <c r="D302" s="5" t="s">
        <v>101</v>
      </c>
      <c r="E302" s="5" t="s">
        <v>93</v>
      </c>
      <c r="F302" s="5" t="s">
        <v>92</v>
      </c>
      <c r="G302" s="5" t="s">
        <v>89</v>
      </c>
      <c r="H302" s="5" t="s">
        <v>60</v>
      </c>
      <c r="I302" s="5" t="s">
        <v>87</v>
      </c>
      <c r="J302" s="5" t="s">
        <v>29</v>
      </c>
      <c r="K302" s="5" t="s">
        <v>48</v>
      </c>
      <c r="L302" s="5" t="s">
        <v>31</v>
      </c>
      <c r="M302" s="5" t="s">
        <v>32</v>
      </c>
      <c r="N302" s="5" t="s">
        <v>16</v>
      </c>
    </row>
    <row r="303" spans="1:14" ht="15.75" customHeight="1" x14ac:dyDescent="0.2">
      <c r="A303" s="5" t="s">
        <v>34</v>
      </c>
      <c r="B303" s="5">
        <v>0</v>
      </c>
      <c r="C303" s="5">
        <v>0</v>
      </c>
      <c r="D303" s="5" t="s">
        <v>101</v>
      </c>
      <c r="E303" s="5" t="s">
        <v>93</v>
      </c>
      <c r="F303" s="5" t="s">
        <v>92</v>
      </c>
      <c r="G303" s="5" t="s">
        <v>90</v>
      </c>
      <c r="H303" s="5" t="s">
        <v>60</v>
      </c>
      <c r="I303" s="5" t="s">
        <v>34</v>
      </c>
      <c r="J303" s="5" t="s">
        <v>29</v>
      </c>
      <c r="K303" s="5" t="s">
        <v>48</v>
      </c>
      <c r="L303" s="5" t="s">
        <v>31</v>
      </c>
      <c r="M303" s="5" t="s">
        <v>32</v>
      </c>
      <c r="N303" s="5" t="s">
        <v>16</v>
      </c>
    </row>
    <row r="304" spans="1:14" ht="15.75" customHeight="1" x14ac:dyDescent="0.2">
      <c r="A304" s="5" t="s">
        <v>35</v>
      </c>
      <c r="B304" s="5">
        <v>0</v>
      </c>
      <c r="C304" s="5">
        <v>0</v>
      </c>
      <c r="D304" s="5" t="s">
        <v>101</v>
      </c>
      <c r="E304" s="5" t="s">
        <v>93</v>
      </c>
      <c r="F304" s="5" t="s">
        <v>92</v>
      </c>
      <c r="G304" s="5" t="s">
        <v>91</v>
      </c>
      <c r="H304" s="5" t="s">
        <v>60</v>
      </c>
      <c r="I304" s="5" t="s">
        <v>34</v>
      </c>
      <c r="J304" s="5" t="s">
        <v>29</v>
      </c>
      <c r="K304" s="5" t="s">
        <v>48</v>
      </c>
      <c r="L304" s="5" t="s">
        <v>31</v>
      </c>
      <c r="M304" s="5" t="s">
        <v>32</v>
      </c>
      <c r="N304" s="5" t="s">
        <v>16</v>
      </c>
    </row>
    <row r="305" spans="1:14" ht="15.75" customHeight="1" x14ac:dyDescent="0.2">
      <c r="A305" s="5" t="s">
        <v>36</v>
      </c>
      <c r="B305" s="5">
        <v>0</v>
      </c>
      <c r="C305" s="5">
        <v>0</v>
      </c>
      <c r="D305" s="5" t="s">
        <v>101</v>
      </c>
      <c r="E305" s="5" t="s">
        <v>93</v>
      </c>
      <c r="F305" s="5" t="s">
        <v>92</v>
      </c>
      <c r="G305" s="5" t="s">
        <v>90</v>
      </c>
      <c r="H305" s="5" t="s">
        <v>60</v>
      </c>
      <c r="I305" s="5" t="s">
        <v>36</v>
      </c>
      <c r="J305" s="5" t="s">
        <v>29</v>
      </c>
      <c r="K305" s="5" t="s">
        <v>48</v>
      </c>
      <c r="L305" s="5" t="s">
        <v>31</v>
      </c>
      <c r="M305" s="5" t="s">
        <v>32</v>
      </c>
      <c r="N305" s="5" t="s">
        <v>16</v>
      </c>
    </row>
    <row r="306" spans="1:14" ht="15.75" customHeight="1" x14ac:dyDescent="0.2">
      <c r="A306" s="5" t="s">
        <v>35</v>
      </c>
      <c r="B306" s="5">
        <v>0</v>
      </c>
      <c r="C306" s="5">
        <v>0</v>
      </c>
      <c r="D306" s="5" t="s">
        <v>101</v>
      </c>
      <c r="E306" s="5" t="s">
        <v>93</v>
      </c>
      <c r="F306" s="5" t="s">
        <v>92</v>
      </c>
      <c r="G306" s="5" t="s">
        <v>91</v>
      </c>
      <c r="H306" s="5" t="s">
        <v>60</v>
      </c>
      <c r="I306" s="5" t="s">
        <v>36</v>
      </c>
      <c r="J306" s="5" t="s">
        <v>29</v>
      </c>
      <c r="K306" s="5" t="s">
        <v>48</v>
      </c>
      <c r="L306" s="5" t="s">
        <v>31</v>
      </c>
      <c r="M306" s="5" t="s">
        <v>32</v>
      </c>
      <c r="N306" s="5" t="s">
        <v>16</v>
      </c>
    </row>
    <row r="307" spans="1:14" ht="15.75" customHeight="1" x14ac:dyDescent="0.2">
      <c r="A307" s="5" t="s">
        <v>37</v>
      </c>
      <c r="B307" s="5">
        <v>0</v>
      </c>
      <c r="C307" s="5">
        <v>0</v>
      </c>
      <c r="D307" s="5" t="s">
        <v>101</v>
      </c>
      <c r="E307" s="5" t="s">
        <v>93</v>
      </c>
      <c r="F307" s="5" t="s">
        <v>92</v>
      </c>
      <c r="G307" s="5" t="s">
        <v>90</v>
      </c>
      <c r="H307" s="5" t="s">
        <v>60</v>
      </c>
      <c r="I307" s="5" t="s">
        <v>37</v>
      </c>
      <c r="J307" s="5" t="s">
        <v>29</v>
      </c>
      <c r="K307" s="5" t="s">
        <v>48</v>
      </c>
      <c r="L307" s="5" t="s">
        <v>31</v>
      </c>
      <c r="M307" s="5" t="s">
        <v>32</v>
      </c>
      <c r="N307" s="5" t="s">
        <v>16</v>
      </c>
    </row>
    <row r="308" spans="1:14" ht="15.75" customHeight="1" x14ac:dyDescent="0.2">
      <c r="A308" s="5" t="s">
        <v>35</v>
      </c>
      <c r="B308" s="5">
        <v>0</v>
      </c>
      <c r="C308" s="5">
        <v>0</v>
      </c>
      <c r="D308" s="5" t="s">
        <v>101</v>
      </c>
      <c r="E308" s="5" t="s">
        <v>93</v>
      </c>
      <c r="F308" s="5" t="s">
        <v>92</v>
      </c>
      <c r="G308" s="5" t="s">
        <v>91</v>
      </c>
      <c r="H308" s="5" t="s">
        <v>60</v>
      </c>
      <c r="I308" s="5" t="s">
        <v>37</v>
      </c>
      <c r="J308" s="5" t="s">
        <v>29</v>
      </c>
      <c r="K308" s="5" t="s">
        <v>48</v>
      </c>
      <c r="L308" s="5" t="s">
        <v>31</v>
      </c>
      <c r="M308" s="5" t="s">
        <v>32</v>
      </c>
      <c r="N308" s="5" t="s">
        <v>16</v>
      </c>
    </row>
    <row r="309" spans="1:14" ht="15.75" customHeight="1" x14ac:dyDescent="0.2">
      <c r="A309" s="5" t="s">
        <v>38</v>
      </c>
      <c r="B309" s="5">
        <v>0</v>
      </c>
      <c r="C309" s="5">
        <v>0</v>
      </c>
      <c r="D309" s="5" t="s">
        <v>101</v>
      </c>
      <c r="E309" s="5" t="s">
        <v>93</v>
      </c>
      <c r="F309" s="5" t="s">
        <v>92</v>
      </c>
      <c r="G309" s="5" t="s">
        <v>90</v>
      </c>
      <c r="H309" s="5" t="s">
        <v>60</v>
      </c>
      <c r="I309" s="5" t="s">
        <v>38</v>
      </c>
      <c r="J309" s="5" t="s">
        <v>29</v>
      </c>
      <c r="K309" s="5" t="s">
        <v>48</v>
      </c>
      <c r="L309" s="5" t="s">
        <v>31</v>
      </c>
      <c r="M309" s="5" t="s">
        <v>32</v>
      </c>
      <c r="N309" s="5" t="s">
        <v>16</v>
      </c>
    </row>
    <row r="310" spans="1:14" ht="15.75" customHeight="1" x14ac:dyDescent="0.2">
      <c r="A310" s="5" t="s">
        <v>35</v>
      </c>
      <c r="B310" s="5">
        <v>0</v>
      </c>
      <c r="C310" s="5">
        <v>0</v>
      </c>
      <c r="D310" s="5" t="s">
        <v>101</v>
      </c>
      <c r="E310" s="5" t="s">
        <v>93</v>
      </c>
      <c r="F310" s="5" t="s">
        <v>92</v>
      </c>
      <c r="G310" s="5" t="s">
        <v>91</v>
      </c>
      <c r="H310" s="5" t="s">
        <v>60</v>
      </c>
      <c r="I310" s="5" t="s">
        <v>38</v>
      </c>
      <c r="J310" s="5" t="s">
        <v>29</v>
      </c>
      <c r="K310" s="5" t="s">
        <v>48</v>
      </c>
      <c r="L310" s="5" t="s">
        <v>31</v>
      </c>
      <c r="M310" s="5" t="s">
        <v>32</v>
      </c>
      <c r="N310" s="5" t="s">
        <v>16</v>
      </c>
    </row>
    <row r="311" spans="1:14" ht="15.75" customHeight="1" x14ac:dyDescent="0.2">
      <c r="A311" s="5" t="s">
        <v>39</v>
      </c>
      <c r="B311" s="5">
        <v>0</v>
      </c>
      <c r="C311" s="5">
        <v>0</v>
      </c>
      <c r="D311" s="5" t="s">
        <v>101</v>
      </c>
      <c r="E311" s="5" t="s">
        <v>93</v>
      </c>
      <c r="F311" s="5" t="s">
        <v>92</v>
      </c>
      <c r="G311" s="5" t="s">
        <v>90</v>
      </c>
      <c r="H311" s="5" t="s">
        <v>60</v>
      </c>
      <c r="I311" s="5" t="s">
        <v>39</v>
      </c>
      <c r="J311" s="5" t="s">
        <v>29</v>
      </c>
      <c r="K311" s="5" t="s">
        <v>48</v>
      </c>
      <c r="L311" s="5" t="s">
        <v>31</v>
      </c>
      <c r="M311" s="5" t="s">
        <v>32</v>
      </c>
      <c r="N311" s="5" t="s">
        <v>16</v>
      </c>
    </row>
    <row r="312" spans="1:14" ht="15.75" customHeight="1" x14ac:dyDescent="0.2">
      <c r="A312" s="5" t="s">
        <v>35</v>
      </c>
      <c r="B312" s="5">
        <v>0</v>
      </c>
      <c r="C312" s="5">
        <v>0</v>
      </c>
      <c r="D312" s="5" t="s">
        <v>101</v>
      </c>
      <c r="E312" s="5" t="s">
        <v>93</v>
      </c>
      <c r="F312" s="5" t="s">
        <v>92</v>
      </c>
      <c r="G312" s="5" t="s">
        <v>91</v>
      </c>
      <c r="H312" s="5" t="s">
        <v>60</v>
      </c>
      <c r="I312" s="5" t="s">
        <v>39</v>
      </c>
      <c r="J312" s="5" t="s">
        <v>29</v>
      </c>
      <c r="K312" s="5" t="s">
        <v>48</v>
      </c>
      <c r="L312" s="5" t="s">
        <v>31</v>
      </c>
      <c r="M312" s="5" t="s">
        <v>32</v>
      </c>
      <c r="N312" s="5" t="s">
        <v>16</v>
      </c>
    </row>
    <row r="313" spans="1:14" ht="15.75" customHeight="1" x14ac:dyDescent="0.2">
      <c r="A313" s="5" t="s">
        <v>40</v>
      </c>
      <c r="B313" s="5">
        <v>0</v>
      </c>
      <c r="C313" s="5">
        <v>0</v>
      </c>
      <c r="D313" s="5" t="s">
        <v>101</v>
      </c>
      <c r="E313" s="5" t="s">
        <v>93</v>
      </c>
      <c r="F313" s="5" t="s">
        <v>92</v>
      </c>
      <c r="G313" s="5" t="s">
        <v>90</v>
      </c>
      <c r="H313" s="5" t="s">
        <v>60</v>
      </c>
      <c r="I313" s="5" t="s">
        <v>40</v>
      </c>
      <c r="J313" s="5" t="s">
        <v>29</v>
      </c>
      <c r="K313" s="5" t="s">
        <v>48</v>
      </c>
      <c r="L313" s="5" t="s">
        <v>31</v>
      </c>
      <c r="M313" s="5" t="s">
        <v>32</v>
      </c>
      <c r="N313" s="5" t="s">
        <v>16</v>
      </c>
    </row>
    <row r="314" spans="1:14" ht="15.75" customHeight="1" x14ac:dyDescent="0.2">
      <c r="A314" s="5" t="s">
        <v>35</v>
      </c>
      <c r="B314" s="5">
        <v>0</v>
      </c>
      <c r="C314" s="5">
        <v>0</v>
      </c>
      <c r="D314" s="5" t="s">
        <v>101</v>
      </c>
      <c r="E314" s="5" t="s">
        <v>93</v>
      </c>
      <c r="F314" s="5" t="s">
        <v>92</v>
      </c>
      <c r="G314" s="5" t="s">
        <v>91</v>
      </c>
      <c r="H314" s="5" t="s">
        <v>60</v>
      </c>
      <c r="I314" s="5" t="s">
        <v>40</v>
      </c>
      <c r="J314" s="5" t="s">
        <v>29</v>
      </c>
      <c r="K314" s="5" t="s">
        <v>48</v>
      </c>
      <c r="L314" s="5" t="s">
        <v>31</v>
      </c>
      <c r="M314" s="5" t="s">
        <v>32</v>
      </c>
      <c r="N314" s="5" t="s">
        <v>16</v>
      </c>
    </row>
    <row r="315" spans="1:14" ht="15.75" customHeight="1" x14ac:dyDescent="0.2">
      <c r="A315" s="5" t="s">
        <v>41</v>
      </c>
      <c r="B315" s="5">
        <v>0</v>
      </c>
      <c r="C315" s="5">
        <v>0</v>
      </c>
      <c r="D315" s="5" t="s">
        <v>101</v>
      </c>
      <c r="E315" s="5" t="s">
        <v>93</v>
      </c>
      <c r="F315" s="5" t="s">
        <v>92</v>
      </c>
      <c r="G315" s="5" t="s">
        <v>90</v>
      </c>
      <c r="H315" s="5" t="s">
        <v>60</v>
      </c>
      <c r="I315" s="5" t="s">
        <v>41</v>
      </c>
      <c r="J315" s="5" t="s">
        <v>29</v>
      </c>
      <c r="K315" s="5" t="s">
        <v>48</v>
      </c>
      <c r="L315" s="5" t="s">
        <v>31</v>
      </c>
      <c r="M315" s="5" t="s">
        <v>32</v>
      </c>
      <c r="N315" s="5" t="s">
        <v>16</v>
      </c>
    </row>
    <row r="316" spans="1:14" ht="15.75" customHeight="1" x14ac:dyDescent="0.2">
      <c r="A316" s="5" t="s">
        <v>35</v>
      </c>
      <c r="B316" s="5">
        <v>0</v>
      </c>
      <c r="C316" s="5">
        <v>0</v>
      </c>
      <c r="D316" s="5" t="s">
        <v>101</v>
      </c>
      <c r="E316" s="5" t="s">
        <v>93</v>
      </c>
      <c r="F316" s="5" t="s">
        <v>92</v>
      </c>
      <c r="G316" s="5" t="s">
        <v>91</v>
      </c>
      <c r="H316" s="5" t="s">
        <v>60</v>
      </c>
      <c r="I316" s="5" t="s">
        <v>41</v>
      </c>
      <c r="J316" s="5" t="s">
        <v>29</v>
      </c>
      <c r="K316" s="5" t="s">
        <v>48</v>
      </c>
      <c r="L316" s="5" t="s">
        <v>31</v>
      </c>
      <c r="M316" s="5" t="s">
        <v>32</v>
      </c>
      <c r="N316" s="5" t="s">
        <v>16</v>
      </c>
    </row>
    <row r="317" spans="1:14" ht="15.75" customHeight="1" x14ac:dyDescent="0.2">
      <c r="A317" s="5" t="s">
        <v>42</v>
      </c>
      <c r="B317" s="5">
        <v>0</v>
      </c>
      <c r="C317" s="5">
        <v>0</v>
      </c>
      <c r="D317" s="5" t="s">
        <v>101</v>
      </c>
      <c r="E317" s="5" t="s">
        <v>93</v>
      </c>
      <c r="F317" s="5" t="s">
        <v>92</v>
      </c>
      <c r="G317" s="5" t="s">
        <v>90</v>
      </c>
      <c r="H317" s="5" t="s">
        <v>60</v>
      </c>
      <c r="I317" s="5" t="s">
        <v>42</v>
      </c>
      <c r="J317" s="5" t="s">
        <v>29</v>
      </c>
      <c r="K317" s="5" t="s">
        <v>48</v>
      </c>
      <c r="L317" s="5" t="s">
        <v>31</v>
      </c>
      <c r="M317" s="5" t="s">
        <v>32</v>
      </c>
      <c r="N317" s="5" t="s">
        <v>16</v>
      </c>
    </row>
    <row r="318" spans="1:14" ht="15.75" customHeight="1" x14ac:dyDescent="0.2">
      <c r="A318" s="5" t="s">
        <v>35</v>
      </c>
      <c r="B318" s="5">
        <v>0</v>
      </c>
      <c r="C318" s="5">
        <v>0</v>
      </c>
      <c r="D318" s="5" t="s">
        <v>101</v>
      </c>
      <c r="E318" s="5" t="s">
        <v>93</v>
      </c>
      <c r="F318" s="5" t="s">
        <v>92</v>
      </c>
      <c r="G318" s="5" t="s">
        <v>91</v>
      </c>
      <c r="H318" s="5" t="s">
        <v>60</v>
      </c>
      <c r="I318" s="5" t="s">
        <v>42</v>
      </c>
      <c r="J318" s="5" t="s">
        <v>29</v>
      </c>
      <c r="K318" s="5" t="s">
        <v>48</v>
      </c>
      <c r="L318" s="5" t="s">
        <v>31</v>
      </c>
      <c r="M318" s="5" t="s">
        <v>32</v>
      </c>
      <c r="N318" s="5" t="s">
        <v>16</v>
      </c>
    </row>
    <row r="319" spans="1:14" ht="15.75" customHeight="1" x14ac:dyDescent="0.2">
      <c r="A319" s="5" t="s">
        <v>43</v>
      </c>
      <c r="B319" s="5">
        <v>0</v>
      </c>
      <c r="C319" s="5">
        <v>0</v>
      </c>
      <c r="D319" s="5" t="s">
        <v>101</v>
      </c>
      <c r="E319" s="5" t="s">
        <v>93</v>
      </c>
      <c r="F319" s="5" t="s">
        <v>92</v>
      </c>
      <c r="G319" s="5" t="s">
        <v>90</v>
      </c>
      <c r="H319" s="5" t="s">
        <v>60</v>
      </c>
      <c r="I319" s="5" t="s">
        <v>43</v>
      </c>
      <c r="J319" s="5" t="s">
        <v>29</v>
      </c>
      <c r="K319" s="5" t="s">
        <v>48</v>
      </c>
      <c r="L319" s="5" t="s">
        <v>31</v>
      </c>
      <c r="M319" s="5" t="s">
        <v>32</v>
      </c>
      <c r="N319" s="5" t="s">
        <v>16</v>
      </c>
    </row>
    <row r="320" spans="1:14" ht="15.75" customHeight="1" x14ac:dyDescent="0.2">
      <c r="A320" s="5" t="s">
        <v>35</v>
      </c>
      <c r="B320" s="5">
        <v>0</v>
      </c>
      <c r="C320" s="5">
        <v>0</v>
      </c>
      <c r="D320" s="5" t="s">
        <v>101</v>
      </c>
      <c r="E320" s="5" t="s">
        <v>93</v>
      </c>
      <c r="F320" s="5" t="s">
        <v>92</v>
      </c>
      <c r="G320" s="5" t="s">
        <v>91</v>
      </c>
      <c r="H320" s="5" t="s">
        <v>60</v>
      </c>
      <c r="I320" s="5" t="s">
        <v>43</v>
      </c>
      <c r="J320" s="5" t="s">
        <v>29</v>
      </c>
      <c r="K320" s="5" t="s">
        <v>48</v>
      </c>
      <c r="L320" s="5" t="s">
        <v>31</v>
      </c>
      <c r="M320" s="5" t="s">
        <v>32</v>
      </c>
      <c r="N320" s="5" t="s">
        <v>16</v>
      </c>
    </row>
    <row r="321" spans="1:14" ht="15.75" customHeight="1" x14ac:dyDescent="0.2">
      <c r="A321" s="5" t="s">
        <v>44</v>
      </c>
      <c r="B321" s="5">
        <v>0</v>
      </c>
      <c r="C321" s="5">
        <v>0</v>
      </c>
      <c r="D321" s="5" t="s">
        <v>101</v>
      </c>
      <c r="E321" s="5" t="s">
        <v>93</v>
      </c>
      <c r="F321" s="5" t="s">
        <v>92</v>
      </c>
      <c r="G321" s="5" t="s">
        <v>90</v>
      </c>
      <c r="H321" s="5" t="s">
        <v>60</v>
      </c>
      <c r="I321" s="5" t="s">
        <v>44</v>
      </c>
      <c r="J321" s="5" t="s">
        <v>29</v>
      </c>
      <c r="K321" s="5" t="s">
        <v>48</v>
      </c>
      <c r="L321" s="5" t="s">
        <v>31</v>
      </c>
      <c r="M321" s="5" t="s">
        <v>32</v>
      </c>
      <c r="N321" s="5" t="s">
        <v>16</v>
      </c>
    </row>
    <row r="322" spans="1:14" ht="15.75" customHeight="1" x14ac:dyDescent="0.2">
      <c r="A322" s="5" t="s">
        <v>35</v>
      </c>
      <c r="B322" s="5">
        <v>0</v>
      </c>
      <c r="C322" s="5">
        <v>0</v>
      </c>
      <c r="D322" s="5" t="s">
        <v>101</v>
      </c>
      <c r="E322" s="5" t="s">
        <v>93</v>
      </c>
      <c r="F322" s="5" t="s">
        <v>92</v>
      </c>
      <c r="G322" s="5" t="s">
        <v>91</v>
      </c>
      <c r="H322" s="5" t="s">
        <v>60</v>
      </c>
      <c r="I322" s="5" t="s">
        <v>44</v>
      </c>
      <c r="J322" s="5" t="s">
        <v>29</v>
      </c>
      <c r="K322" s="5" t="s">
        <v>48</v>
      </c>
      <c r="L322" s="5" t="s">
        <v>31</v>
      </c>
      <c r="M322" s="5" t="s">
        <v>32</v>
      </c>
      <c r="N322" s="5" t="s">
        <v>16</v>
      </c>
    </row>
    <row r="323" spans="1:14" ht="15.75" customHeight="1" x14ac:dyDescent="0.2">
      <c r="A323" s="5" t="s">
        <v>45</v>
      </c>
      <c r="B323" s="5">
        <v>0</v>
      </c>
      <c r="C323" s="5">
        <v>0</v>
      </c>
      <c r="D323" s="5" t="s">
        <v>101</v>
      </c>
      <c r="E323" s="5" t="s">
        <v>93</v>
      </c>
      <c r="F323" s="5" t="s">
        <v>92</v>
      </c>
      <c r="G323" s="5" t="s">
        <v>90</v>
      </c>
      <c r="H323" s="5" t="s">
        <v>60</v>
      </c>
      <c r="I323" s="5" t="s">
        <v>45</v>
      </c>
      <c r="J323" s="5" t="s">
        <v>29</v>
      </c>
      <c r="K323" s="5" t="s">
        <v>48</v>
      </c>
      <c r="L323" s="5" t="s">
        <v>31</v>
      </c>
      <c r="M323" s="5" t="s">
        <v>32</v>
      </c>
      <c r="N323" s="5" t="s">
        <v>16</v>
      </c>
    </row>
    <row r="324" spans="1:14" ht="15.75" customHeight="1" x14ac:dyDescent="0.2">
      <c r="A324" s="5" t="s">
        <v>35</v>
      </c>
      <c r="B324" s="5">
        <v>0</v>
      </c>
      <c r="C324" s="5">
        <v>0</v>
      </c>
      <c r="D324" s="5" t="s">
        <v>101</v>
      </c>
      <c r="E324" s="5" t="s">
        <v>93</v>
      </c>
      <c r="F324" s="5" t="s">
        <v>92</v>
      </c>
      <c r="G324" s="5" t="s">
        <v>91</v>
      </c>
      <c r="H324" s="5" t="s">
        <v>60</v>
      </c>
      <c r="I324" s="5" t="s">
        <v>45</v>
      </c>
      <c r="J324" s="5" t="s">
        <v>29</v>
      </c>
      <c r="K324" s="5" t="s">
        <v>48</v>
      </c>
      <c r="L324" s="5" t="s">
        <v>31</v>
      </c>
      <c r="M324" s="5" t="s">
        <v>32</v>
      </c>
      <c r="N324" s="5" t="s">
        <v>16</v>
      </c>
    </row>
    <row r="325" spans="1:14" ht="15.75" customHeight="1" x14ac:dyDescent="0.2">
      <c r="A325" s="5" t="s">
        <v>46</v>
      </c>
      <c r="B325" s="5">
        <v>0</v>
      </c>
      <c r="C325" s="5">
        <v>0</v>
      </c>
      <c r="D325" s="5" t="s">
        <v>101</v>
      </c>
      <c r="E325" s="5" t="s">
        <v>93</v>
      </c>
      <c r="F325" s="5" t="s">
        <v>92</v>
      </c>
      <c r="G325" s="5" t="s">
        <v>90</v>
      </c>
      <c r="H325" s="5" t="s">
        <v>60</v>
      </c>
      <c r="I325" s="5" t="s">
        <v>46</v>
      </c>
      <c r="J325" s="5" t="s">
        <v>29</v>
      </c>
      <c r="K325" s="5" t="s">
        <v>48</v>
      </c>
      <c r="L325" s="5" t="s">
        <v>31</v>
      </c>
      <c r="M325" s="5" t="s">
        <v>32</v>
      </c>
      <c r="N325" s="5" t="s">
        <v>16</v>
      </c>
    </row>
    <row r="326" spans="1:14" ht="15.75" customHeight="1" x14ac:dyDescent="0.2">
      <c r="A326" s="5" t="s">
        <v>35</v>
      </c>
      <c r="B326" s="5">
        <v>0</v>
      </c>
      <c r="C326" s="5">
        <v>0</v>
      </c>
      <c r="D326" s="5" t="s">
        <v>101</v>
      </c>
      <c r="E326" s="5" t="s">
        <v>93</v>
      </c>
      <c r="F326" s="5" t="s">
        <v>92</v>
      </c>
      <c r="G326" s="5" t="s">
        <v>91</v>
      </c>
      <c r="H326" s="5" t="s">
        <v>60</v>
      </c>
      <c r="I326" s="5" t="s">
        <v>46</v>
      </c>
      <c r="J326" s="5" t="s">
        <v>29</v>
      </c>
      <c r="K326" s="5" t="s">
        <v>48</v>
      </c>
      <c r="L326" s="5" t="s">
        <v>31</v>
      </c>
      <c r="M326" s="5" t="s">
        <v>32</v>
      </c>
      <c r="N326" s="5" t="s">
        <v>16</v>
      </c>
    </row>
    <row r="327" spans="1:14" ht="15.75" customHeight="1" x14ac:dyDescent="0.2">
      <c r="A327" s="5" t="s">
        <v>87</v>
      </c>
      <c r="B327" s="5">
        <v>1</v>
      </c>
      <c r="C327" s="5">
        <v>44</v>
      </c>
      <c r="D327" s="5" t="s">
        <v>102</v>
      </c>
      <c r="E327" s="5" t="s">
        <v>93</v>
      </c>
      <c r="F327" s="5" t="s">
        <v>92</v>
      </c>
      <c r="G327" s="5" t="s">
        <v>89</v>
      </c>
      <c r="H327" s="5" t="s">
        <v>61</v>
      </c>
      <c r="I327" s="5" t="s">
        <v>87</v>
      </c>
      <c r="J327" s="5" t="s">
        <v>29</v>
      </c>
      <c r="K327" s="5" t="s">
        <v>48</v>
      </c>
      <c r="L327" s="5" t="s">
        <v>31</v>
      </c>
      <c r="M327" s="5" t="s">
        <v>32</v>
      </c>
      <c r="N327" s="5" t="s">
        <v>16</v>
      </c>
    </row>
    <row r="328" spans="1:14" ht="15.75" customHeight="1" x14ac:dyDescent="0.2">
      <c r="A328" s="5" t="s">
        <v>34</v>
      </c>
      <c r="B328" s="5">
        <v>0</v>
      </c>
      <c r="C328" s="5">
        <v>0</v>
      </c>
      <c r="D328" s="5" t="s">
        <v>102</v>
      </c>
      <c r="E328" s="5" t="s">
        <v>93</v>
      </c>
      <c r="F328" s="5" t="s">
        <v>92</v>
      </c>
      <c r="G328" s="5" t="s">
        <v>90</v>
      </c>
      <c r="H328" s="5" t="s">
        <v>61</v>
      </c>
      <c r="I328" s="5" t="s">
        <v>34</v>
      </c>
      <c r="J328" s="5" t="s">
        <v>29</v>
      </c>
      <c r="K328" s="5" t="s">
        <v>48</v>
      </c>
      <c r="L328" s="5" t="s">
        <v>31</v>
      </c>
      <c r="M328" s="5" t="s">
        <v>32</v>
      </c>
      <c r="N328" s="5" t="s">
        <v>16</v>
      </c>
    </row>
    <row r="329" spans="1:14" ht="15.75" customHeight="1" x14ac:dyDescent="0.2">
      <c r="A329" s="5" t="s">
        <v>35</v>
      </c>
      <c r="B329" s="5">
        <v>0</v>
      </c>
      <c r="C329" s="5">
        <v>0</v>
      </c>
      <c r="D329" s="5" t="s">
        <v>102</v>
      </c>
      <c r="E329" s="5" t="s">
        <v>93</v>
      </c>
      <c r="F329" s="5" t="s">
        <v>92</v>
      </c>
      <c r="G329" s="5" t="s">
        <v>91</v>
      </c>
      <c r="H329" s="5" t="s">
        <v>61</v>
      </c>
      <c r="I329" s="5" t="s">
        <v>34</v>
      </c>
      <c r="J329" s="5" t="s">
        <v>29</v>
      </c>
      <c r="K329" s="5" t="s">
        <v>48</v>
      </c>
      <c r="L329" s="5" t="s">
        <v>31</v>
      </c>
      <c r="M329" s="5" t="s">
        <v>32</v>
      </c>
      <c r="N329" s="5" t="s">
        <v>16</v>
      </c>
    </row>
    <row r="330" spans="1:14" ht="15.75" customHeight="1" x14ac:dyDescent="0.2">
      <c r="A330" s="5" t="s">
        <v>36</v>
      </c>
      <c r="B330" s="5">
        <v>0</v>
      </c>
      <c r="C330" s="5">
        <v>0</v>
      </c>
      <c r="D330" s="5" t="s">
        <v>102</v>
      </c>
      <c r="E330" s="5" t="s">
        <v>93</v>
      </c>
      <c r="F330" s="5" t="s">
        <v>92</v>
      </c>
      <c r="G330" s="5" t="s">
        <v>90</v>
      </c>
      <c r="H330" s="5" t="s">
        <v>61</v>
      </c>
      <c r="I330" s="5" t="s">
        <v>36</v>
      </c>
      <c r="J330" s="5" t="s">
        <v>29</v>
      </c>
      <c r="K330" s="5" t="s">
        <v>48</v>
      </c>
      <c r="L330" s="5" t="s">
        <v>31</v>
      </c>
      <c r="M330" s="5" t="s">
        <v>32</v>
      </c>
      <c r="N330" s="5" t="s">
        <v>16</v>
      </c>
    </row>
    <row r="331" spans="1:14" ht="15.75" customHeight="1" x14ac:dyDescent="0.2">
      <c r="A331" s="5" t="s">
        <v>35</v>
      </c>
      <c r="B331" s="5">
        <v>0</v>
      </c>
      <c r="C331" s="5">
        <v>0</v>
      </c>
      <c r="D331" s="5" t="s">
        <v>102</v>
      </c>
      <c r="E331" s="5" t="s">
        <v>93</v>
      </c>
      <c r="F331" s="5" t="s">
        <v>92</v>
      </c>
      <c r="G331" s="5" t="s">
        <v>91</v>
      </c>
      <c r="H331" s="5" t="s">
        <v>61</v>
      </c>
      <c r="I331" s="5" t="s">
        <v>36</v>
      </c>
      <c r="J331" s="5" t="s">
        <v>29</v>
      </c>
      <c r="K331" s="5" t="s">
        <v>48</v>
      </c>
      <c r="L331" s="5" t="s">
        <v>31</v>
      </c>
      <c r="M331" s="5" t="s">
        <v>32</v>
      </c>
      <c r="N331" s="5" t="s">
        <v>16</v>
      </c>
    </row>
    <row r="332" spans="1:14" ht="15.75" customHeight="1" x14ac:dyDescent="0.2">
      <c r="A332" s="5" t="s">
        <v>37</v>
      </c>
      <c r="B332" s="5">
        <v>0</v>
      </c>
      <c r="C332" s="5">
        <v>0</v>
      </c>
      <c r="D332" s="5" t="s">
        <v>102</v>
      </c>
      <c r="E332" s="5" t="s">
        <v>93</v>
      </c>
      <c r="F332" s="5" t="s">
        <v>92</v>
      </c>
      <c r="G332" s="5" t="s">
        <v>90</v>
      </c>
      <c r="H332" s="5" t="s">
        <v>61</v>
      </c>
      <c r="I332" s="5" t="s">
        <v>37</v>
      </c>
      <c r="J332" s="5" t="s">
        <v>29</v>
      </c>
      <c r="K332" s="5" t="s">
        <v>48</v>
      </c>
      <c r="L332" s="5" t="s">
        <v>31</v>
      </c>
      <c r="M332" s="5" t="s">
        <v>32</v>
      </c>
      <c r="N332" s="5" t="s">
        <v>16</v>
      </c>
    </row>
    <row r="333" spans="1:14" ht="15.75" customHeight="1" x14ac:dyDescent="0.2">
      <c r="A333" s="5" t="s">
        <v>35</v>
      </c>
      <c r="B333" s="5">
        <v>0</v>
      </c>
      <c r="C333" s="5">
        <v>0</v>
      </c>
      <c r="D333" s="5" t="s">
        <v>102</v>
      </c>
      <c r="E333" s="5" t="s">
        <v>93</v>
      </c>
      <c r="F333" s="5" t="s">
        <v>92</v>
      </c>
      <c r="G333" s="5" t="s">
        <v>91</v>
      </c>
      <c r="H333" s="5" t="s">
        <v>61</v>
      </c>
      <c r="I333" s="5" t="s">
        <v>37</v>
      </c>
      <c r="J333" s="5" t="s">
        <v>29</v>
      </c>
      <c r="K333" s="5" t="s">
        <v>48</v>
      </c>
      <c r="L333" s="5" t="s">
        <v>31</v>
      </c>
      <c r="M333" s="5" t="s">
        <v>32</v>
      </c>
      <c r="N333" s="5" t="s">
        <v>16</v>
      </c>
    </row>
    <row r="334" spans="1:14" ht="15.75" customHeight="1" x14ac:dyDescent="0.2">
      <c r="A334" s="5" t="s">
        <v>38</v>
      </c>
      <c r="B334" s="5">
        <v>1</v>
      </c>
      <c r="C334" s="5">
        <v>44</v>
      </c>
      <c r="D334" s="5" t="s">
        <v>102</v>
      </c>
      <c r="E334" s="5" t="s">
        <v>93</v>
      </c>
      <c r="F334" s="5" t="s">
        <v>92</v>
      </c>
      <c r="G334" s="5" t="s">
        <v>90</v>
      </c>
      <c r="H334" s="5" t="s">
        <v>61</v>
      </c>
      <c r="I334" s="5" t="s">
        <v>38</v>
      </c>
      <c r="J334" s="5" t="s">
        <v>29</v>
      </c>
      <c r="K334" s="5" t="s">
        <v>48</v>
      </c>
      <c r="L334" s="5" t="s">
        <v>31</v>
      </c>
      <c r="M334" s="5" t="s">
        <v>32</v>
      </c>
      <c r="N334" s="5" t="s">
        <v>16</v>
      </c>
    </row>
    <row r="335" spans="1:14" ht="15.75" customHeight="1" x14ac:dyDescent="0.2">
      <c r="A335" s="5" t="s">
        <v>35</v>
      </c>
      <c r="B335" s="5">
        <v>1</v>
      </c>
      <c r="C335" s="5">
        <v>44</v>
      </c>
      <c r="D335" s="5" t="s">
        <v>102</v>
      </c>
      <c r="E335" s="5" t="s">
        <v>93</v>
      </c>
      <c r="F335" s="5" t="s">
        <v>92</v>
      </c>
      <c r="G335" s="5" t="s">
        <v>91</v>
      </c>
      <c r="H335" s="5" t="s">
        <v>61</v>
      </c>
      <c r="I335" s="5" t="s">
        <v>38</v>
      </c>
      <c r="J335" s="5" t="s">
        <v>29</v>
      </c>
      <c r="K335" s="5" t="s">
        <v>48</v>
      </c>
      <c r="L335" s="5" t="s">
        <v>31</v>
      </c>
      <c r="M335" s="5" t="s">
        <v>32</v>
      </c>
      <c r="N335" s="5" t="s">
        <v>16</v>
      </c>
    </row>
    <row r="336" spans="1:14" ht="15.75" customHeight="1" x14ac:dyDescent="0.2">
      <c r="A336" s="5" t="s">
        <v>39</v>
      </c>
      <c r="B336" s="5">
        <v>0</v>
      </c>
      <c r="C336" s="5">
        <v>0</v>
      </c>
      <c r="D336" s="5" t="s">
        <v>102</v>
      </c>
      <c r="E336" s="5" t="s">
        <v>93</v>
      </c>
      <c r="F336" s="5" t="s">
        <v>92</v>
      </c>
      <c r="G336" s="5" t="s">
        <v>90</v>
      </c>
      <c r="H336" s="5" t="s">
        <v>61</v>
      </c>
      <c r="I336" s="5" t="s">
        <v>39</v>
      </c>
      <c r="J336" s="5" t="s">
        <v>29</v>
      </c>
      <c r="K336" s="5" t="s">
        <v>48</v>
      </c>
      <c r="L336" s="5" t="s">
        <v>31</v>
      </c>
      <c r="M336" s="5" t="s">
        <v>32</v>
      </c>
      <c r="N336" s="5" t="s">
        <v>16</v>
      </c>
    </row>
    <row r="337" spans="1:14" ht="15.75" customHeight="1" x14ac:dyDescent="0.2">
      <c r="A337" s="5" t="s">
        <v>35</v>
      </c>
      <c r="B337" s="5">
        <v>0</v>
      </c>
      <c r="C337" s="5">
        <v>0</v>
      </c>
      <c r="D337" s="5" t="s">
        <v>102</v>
      </c>
      <c r="E337" s="5" t="s">
        <v>93</v>
      </c>
      <c r="F337" s="5" t="s">
        <v>92</v>
      </c>
      <c r="G337" s="5" t="s">
        <v>91</v>
      </c>
      <c r="H337" s="5" t="s">
        <v>61</v>
      </c>
      <c r="I337" s="5" t="s">
        <v>39</v>
      </c>
      <c r="J337" s="5" t="s">
        <v>29</v>
      </c>
      <c r="K337" s="5" t="s">
        <v>48</v>
      </c>
      <c r="L337" s="5" t="s">
        <v>31</v>
      </c>
      <c r="M337" s="5" t="s">
        <v>32</v>
      </c>
      <c r="N337" s="5" t="s">
        <v>16</v>
      </c>
    </row>
    <row r="338" spans="1:14" ht="15.75" customHeight="1" x14ac:dyDescent="0.2">
      <c r="A338" s="5" t="s">
        <v>40</v>
      </c>
      <c r="B338" s="5">
        <v>0</v>
      </c>
      <c r="C338" s="5">
        <v>0</v>
      </c>
      <c r="D338" s="5" t="s">
        <v>102</v>
      </c>
      <c r="E338" s="5" t="s">
        <v>93</v>
      </c>
      <c r="F338" s="5" t="s">
        <v>92</v>
      </c>
      <c r="G338" s="5" t="s">
        <v>90</v>
      </c>
      <c r="H338" s="5" t="s">
        <v>61</v>
      </c>
      <c r="I338" s="5" t="s">
        <v>40</v>
      </c>
      <c r="J338" s="5" t="s">
        <v>29</v>
      </c>
      <c r="K338" s="5" t="s">
        <v>48</v>
      </c>
      <c r="L338" s="5" t="s">
        <v>31</v>
      </c>
      <c r="M338" s="5" t="s">
        <v>32</v>
      </c>
      <c r="N338" s="5" t="s">
        <v>16</v>
      </c>
    </row>
    <row r="339" spans="1:14" ht="15.75" customHeight="1" x14ac:dyDescent="0.2">
      <c r="A339" s="5" t="s">
        <v>35</v>
      </c>
      <c r="B339" s="5">
        <v>0</v>
      </c>
      <c r="C339" s="5">
        <v>0</v>
      </c>
      <c r="D339" s="5" t="s">
        <v>102</v>
      </c>
      <c r="E339" s="5" t="s">
        <v>93</v>
      </c>
      <c r="F339" s="5" t="s">
        <v>92</v>
      </c>
      <c r="G339" s="5" t="s">
        <v>91</v>
      </c>
      <c r="H339" s="5" t="s">
        <v>61</v>
      </c>
      <c r="I339" s="5" t="s">
        <v>40</v>
      </c>
      <c r="J339" s="5" t="s">
        <v>29</v>
      </c>
      <c r="K339" s="5" t="s">
        <v>48</v>
      </c>
      <c r="L339" s="5" t="s">
        <v>31</v>
      </c>
      <c r="M339" s="5" t="s">
        <v>32</v>
      </c>
      <c r="N339" s="5" t="s">
        <v>16</v>
      </c>
    </row>
    <row r="340" spans="1:14" ht="15.75" customHeight="1" x14ac:dyDescent="0.2">
      <c r="A340" s="5" t="s">
        <v>41</v>
      </c>
      <c r="B340" s="5">
        <v>0</v>
      </c>
      <c r="C340" s="5">
        <v>0</v>
      </c>
      <c r="D340" s="5" t="s">
        <v>102</v>
      </c>
      <c r="E340" s="5" t="s">
        <v>93</v>
      </c>
      <c r="F340" s="5" t="s">
        <v>92</v>
      </c>
      <c r="G340" s="5" t="s">
        <v>90</v>
      </c>
      <c r="H340" s="5" t="s">
        <v>61</v>
      </c>
      <c r="I340" s="5" t="s">
        <v>41</v>
      </c>
      <c r="J340" s="5" t="s">
        <v>29</v>
      </c>
      <c r="K340" s="5" t="s">
        <v>48</v>
      </c>
      <c r="L340" s="5" t="s">
        <v>31</v>
      </c>
      <c r="M340" s="5" t="s">
        <v>32</v>
      </c>
      <c r="N340" s="5" t="s">
        <v>16</v>
      </c>
    </row>
    <row r="341" spans="1:14" ht="15.75" customHeight="1" x14ac:dyDescent="0.2">
      <c r="A341" s="5" t="s">
        <v>35</v>
      </c>
      <c r="B341" s="5">
        <v>0</v>
      </c>
      <c r="C341" s="5">
        <v>0</v>
      </c>
      <c r="D341" s="5" t="s">
        <v>102</v>
      </c>
      <c r="E341" s="5" t="s">
        <v>93</v>
      </c>
      <c r="F341" s="5" t="s">
        <v>92</v>
      </c>
      <c r="G341" s="5" t="s">
        <v>91</v>
      </c>
      <c r="H341" s="5" t="s">
        <v>61</v>
      </c>
      <c r="I341" s="5" t="s">
        <v>41</v>
      </c>
      <c r="J341" s="5" t="s">
        <v>29</v>
      </c>
      <c r="K341" s="5" t="s">
        <v>48</v>
      </c>
      <c r="L341" s="5" t="s">
        <v>31</v>
      </c>
      <c r="M341" s="5" t="s">
        <v>32</v>
      </c>
      <c r="N341" s="5" t="s">
        <v>16</v>
      </c>
    </row>
    <row r="342" spans="1:14" ht="15.75" customHeight="1" x14ac:dyDescent="0.2">
      <c r="A342" s="5" t="s">
        <v>42</v>
      </c>
      <c r="B342" s="5">
        <v>0</v>
      </c>
      <c r="C342" s="5">
        <v>0</v>
      </c>
      <c r="D342" s="5" t="s">
        <v>102</v>
      </c>
      <c r="E342" s="5" t="s">
        <v>93</v>
      </c>
      <c r="F342" s="5" t="s">
        <v>92</v>
      </c>
      <c r="G342" s="5" t="s">
        <v>90</v>
      </c>
      <c r="H342" s="5" t="s">
        <v>61</v>
      </c>
      <c r="I342" s="5" t="s">
        <v>42</v>
      </c>
      <c r="J342" s="5" t="s">
        <v>29</v>
      </c>
      <c r="K342" s="5" t="s">
        <v>48</v>
      </c>
      <c r="L342" s="5" t="s">
        <v>31</v>
      </c>
      <c r="M342" s="5" t="s">
        <v>32</v>
      </c>
      <c r="N342" s="5" t="s">
        <v>16</v>
      </c>
    </row>
    <row r="343" spans="1:14" ht="15.75" customHeight="1" x14ac:dyDescent="0.2">
      <c r="A343" s="5" t="s">
        <v>35</v>
      </c>
      <c r="B343" s="5">
        <v>0</v>
      </c>
      <c r="C343" s="5">
        <v>0</v>
      </c>
      <c r="D343" s="5" t="s">
        <v>102</v>
      </c>
      <c r="E343" s="5" t="s">
        <v>93</v>
      </c>
      <c r="F343" s="5" t="s">
        <v>92</v>
      </c>
      <c r="G343" s="5" t="s">
        <v>91</v>
      </c>
      <c r="H343" s="5" t="s">
        <v>61</v>
      </c>
      <c r="I343" s="5" t="s">
        <v>42</v>
      </c>
      <c r="J343" s="5" t="s">
        <v>29</v>
      </c>
      <c r="K343" s="5" t="s">
        <v>48</v>
      </c>
      <c r="L343" s="5" t="s">
        <v>31</v>
      </c>
      <c r="M343" s="5" t="s">
        <v>32</v>
      </c>
      <c r="N343" s="5" t="s">
        <v>16</v>
      </c>
    </row>
    <row r="344" spans="1:14" ht="15.75" customHeight="1" x14ac:dyDescent="0.2">
      <c r="A344" s="5" t="s">
        <v>43</v>
      </c>
      <c r="B344" s="5">
        <v>0</v>
      </c>
      <c r="C344" s="5">
        <v>0</v>
      </c>
      <c r="D344" s="5" t="s">
        <v>102</v>
      </c>
      <c r="E344" s="5" t="s">
        <v>93</v>
      </c>
      <c r="F344" s="5" t="s">
        <v>92</v>
      </c>
      <c r="G344" s="5" t="s">
        <v>90</v>
      </c>
      <c r="H344" s="5" t="s">
        <v>61</v>
      </c>
      <c r="I344" s="5" t="s">
        <v>43</v>
      </c>
      <c r="J344" s="5" t="s">
        <v>29</v>
      </c>
      <c r="K344" s="5" t="s">
        <v>48</v>
      </c>
      <c r="L344" s="5" t="s">
        <v>31</v>
      </c>
      <c r="M344" s="5" t="s">
        <v>32</v>
      </c>
      <c r="N344" s="5" t="s">
        <v>16</v>
      </c>
    </row>
    <row r="345" spans="1:14" ht="15.75" customHeight="1" x14ac:dyDescent="0.2">
      <c r="A345" s="5" t="s">
        <v>35</v>
      </c>
      <c r="B345" s="5">
        <v>0</v>
      </c>
      <c r="C345" s="5">
        <v>0</v>
      </c>
      <c r="D345" s="5" t="s">
        <v>102</v>
      </c>
      <c r="E345" s="5" t="s">
        <v>93</v>
      </c>
      <c r="F345" s="5" t="s">
        <v>92</v>
      </c>
      <c r="G345" s="5" t="s">
        <v>91</v>
      </c>
      <c r="H345" s="5" t="s">
        <v>61</v>
      </c>
      <c r="I345" s="5" t="s">
        <v>43</v>
      </c>
      <c r="J345" s="5" t="s">
        <v>29</v>
      </c>
      <c r="K345" s="5" t="s">
        <v>48</v>
      </c>
      <c r="L345" s="5" t="s">
        <v>31</v>
      </c>
      <c r="M345" s="5" t="s">
        <v>32</v>
      </c>
      <c r="N345" s="5" t="s">
        <v>16</v>
      </c>
    </row>
    <row r="346" spans="1:14" ht="15.75" customHeight="1" x14ac:dyDescent="0.2">
      <c r="A346" s="5" t="s">
        <v>44</v>
      </c>
      <c r="B346" s="5">
        <v>0</v>
      </c>
      <c r="C346" s="5">
        <v>0</v>
      </c>
      <c r="D346" s="5" t="s">
        <v>102</v>
      </c>
      <c r="E346" s="5" t="s">
        <v>93</v>
      </c>
      <c r="F346" s="5" t="s">
        <v>92</v>
      </c>
      <c r="G346" s="5" t="s">
        <v>90</v>
      </c>
      <c r="H346" s="5" t="s">
        <v>61</v>
      </c>
      <c r="I346" s="5" t="s">
        <v>44</v>
      </c>
      <c r="J346" s="5" t="s">
        <v>29</v>
      </c>
      <c r="K346" s="5" t="s">
        <v>48</v>
      </c>
      <c r="L346" s="5" t="s">
        <v>31</v>
      </c>
      <c r="M346" s="5" t="s">
        <v>32</v>
      </c>
      <c r="N346" s="5" t="s">
        <v>16</v>
      </c>
    </row>
    <row r="347" spans="1:14" ht="15.75" customHeight="1" x14ac:dyDescent="0.2">
      <c r="A347" s="5" t="s">
        <v>35</v>
      </c>
      <c r="B347" s="5">
        <v>0</v>
      </c>
      <c r="C347" s="5">
        <v>0</v>
      </c>
      <c r="D347" s="5" t="s">
        <v>102</v>
      </c>
      <c r="E347" s="5" t="s">
        <v>93</v>
      </c>
      <c r="F347" s="5" t="s">
        <v>92</v>
      </c>
      <c r="G347" s="5" t="s">
        <v>91</v>
      </c>
      <c r="H347" s="5" t="s">
        <v>61</v>
      </c>
      <c r="I347" s="5" t="s">
        <v>44</v>
      </c>
      <c r="J347" s="5" t="s">
        <v>29</v>
      </c>
      <c r="K347" s="5" t="s">
        <v>48</v>
      </c>
      <c r="L347" s="5" t="s">
        <v>31</v>
      </c>
      <c r="M347" s="5" t="s">
        <v>32</v>
      </c>
      <c r="N347" s="5" t="s">
        <v>16</v>
      </c>
    </row>
    <row r="348" spans="1:14" ht="15.75" customHeight="1" x14ac:dyDescent="0.2">
      <c r="A348" s="5" t="s">
        <v>45</v>
      </c>
      <c r="B348" s="5">
        <v>0</v>
      </c>
      <c r="C348" s="5">
        <v>0</v>
      </c>
      <c r="D348" s="5" t="s">
        <v>102</v>
      </c>
      <c r="E348" s="5" t="s">
        <v>93</v>
      </c>
      <c r="F348" s="5" t="s">
        <v>92</v>
      </c>
      <c r="G348" s="5" t="s">
        <v>90</v>
      </c>
      <c r="H348" s="5" t="s">
        <v>61</v>
      </c>
      <c r="I348" s="5" t="s">
        <v>45</v>
      </c>
      <c r="J348" s="5" t="s">
        <v>29</v>
      </c>
      <c r="K348" s="5" t="s">
        <v>48</v>
      </c>
      <c r="L348" s="5" t="s">
        <v>31</v>
      </c>
      <c r="M348" s="5" t="s">
        <v>32</v>
      </c>
      <c r="N348" s="5" t="s">
        <v>16</v>
      </c>
    </row>
    <row r="349" spans="1:14" ht="15.75" customHeight="1" x14ac:dyDescent="0.2">
      <c r="A349" s="5" t="s">
        <v>35</v>
      </c>
      <c r="B349" s="5">
        <v>0</v>
      </c>
      <c r="C349" s="5">
        <v>0</v>
      </c>
      <c r="D349" s="5" t="s">
        <v>102</v>
      </c>
      <c r="E349" s="5" t="s">
        <v>93</v>
      </c>
      <c r="F349" s="5" t="s">
        <v>92</v>
      </c>
      <c r="G349" s="5" t="s">
        <v>91</v>
      </c>
      <c r="H349" s="5" t="s">
        <v>61</v>
      </c>
      <c r="I349" s="5" t="s">
        <v>45</v>
      </c>
      <c r="J349" s="5" t="s">
        <v>29</v>
      </c>
      <c r="K349" s="5" t="s">
        <v>48</v>
      </c>
      <c r="L349" s="5" t="s">
        <v>31</v>
      </c>
      <c r="M349" s="5" t="s">
        <v>32</v>
      </c>
      <c r="N349" s="5" t="s">
        <v>16</v>
      </c>
    </row>
    <row r="350" spans="1:14" ht="15.75" customHeight="1" x14ac:dyDescent="0.2">
      <c r="A350" s="5" t="s">
        <v>46</v>
      </c>
      <c r="B350" s="5">
        <v>0</v>
      </c>
      <c r="C350" s="5">
        <v>0</v>
      </c>
      <c r="D350" s="5" t="s">
        <v>102</v>
      </c>
      <c r="E350" s="5" t="s">
        <v>93</v>
      </c>
      <c r="F350" s="5" t="s">
        <v>92</v>
      </c>
      <c r="G350" s="5" t="s">
        <v>90</v>
      </c>
      <c r="H350" s="5" t="s">
        <v>61</v>
      </c>
      <c r="I350" s="5" t="s">
        <v>46</v>
      </c>
      <c r="J350" s="5" t="s">
        <v>29</v>
      </c>
      <c r="K350" s="5" t="s">
        <v>48</v>
      </c>
      <c r="L350" s="5" t="s">
        <v>31</v>
      </c>
      <c r="M350" s="5" t="s">
        <v>32</v>
      </c>
      <c r="N350" s="5" t="s">
        <v>16</v>
      </c>
    </row>
    <row r="351" spans="1:14" ht="15.75" customHeight="1" x14ac:dyDescent="0.2">
      <c r="A351" s="5" t="s">
        <v>35</v>
      </c>
      <c r="B351" s="5">
        <v>0</v>
      </c>
      <c r="C351" s="5">
        <v>0</v>
      </c>
      <c r="D351" s="5" t="s">
        <v>102</v>
      </c>
      <c r="E351" s="5" t="s">
        <v>93</v>
      </c>
      <c r="F351" s="5" t="s">
        <v>92</v>
      </c>
      <c r="G351" s="5" t="s">
        <v>91</v>
      </c>
      <c r="H351" s="5" t="s">
        <v>61</v>
      </c>
      <c r="I351" s="5" t="s">
        <v>46</v>
      </c>
      <c r="J351" s="5" t="s">
        <v>29</v>
      </c>
      <c r="K351" s="5" t="s">
        <v>48</v>
      </c>
      <c r="L351" s="5" t="s">
        <v>31</v>
      </c>
      <c r="M351" s="5" t="s">
        <v>32</v>
      </c>
      <c r="N351" s="5" t="s">
        <v>16</v>
      </c>
    </row>
    <row r="352" spans="1:14" ht="15.75" customHeight="1" x14ac:dyDescent="0.2">
      <c r="A352" s="5" t="s">
        <v>87</v>
      </c>
      <c r="B352" s="5">
        <v>18</v>
      </c>
      <c r="C352" s="5">
        <v>790.79</v>
      </c>
      <c r="D352" s="5" t="s">
        <v>103</v>
      </c>
      <c r="E352" s="5" t="s">
        <v>104</v>
      </c>
      <c r="F352" s="5" t="s">
        <v>92</v>
      </c>
      <c r="G352" s="5" t="s">
        <v>89</v>
      </c>
      <c r="H352" s="5" t="s">
        <v>61</v>
      </c>
      <c r="I352" s="5" t="s">
        <v>87</v>
      </c>
      <c r="J352" s="5" t="s">
        <v>29</v>
      </c>
      <c r="K352" s="5" t="s">
        <v>48</v>
      </c>
      <c r="L352" s="5" t="s">
        <v>31</v>
      </c>
      <c r="M352" s="5" t="s">
        <v>32</v>
      </c>
      <c r="N352" s="5" t="s">
        <v>16</v>
      </c>
    </row>
    <row r="353" spans="1:14" ht="15.75" customHeight="1" x14ac:dyDescent="0.2">
      <c r="A353" s="5" t="s">
        <v>34</v>
      </c>
      <c r="B353" s="5">
        <v>2</v>
      </c>
      <c r="C353" s="5">
        <v>69.989999999999995</v>
      </c>
      <c r="D353" s="5" t="s">
        <v>103</v>
      </c>
      <c r="E353" s="5" t="s">
        <v>104</v>
      </c>
      <c r="F353" s="5" t="s">
        <v>92</v>
      </c>
      <c r="G353" s="5" t="s">
        <v>90</v>
      </c>
      <c r="H353" s="5" t="s">
        <v>61</v>
      </c>
      <c r="I353" s="5" t="s">
        <v>34</v>
      </c>
      <c r="J353" s="5" t="s">
        <v>29</v>
      </c>
      <c r="K353" s="5" t="s">
        <v>48</v>
      </c>
      <c r="L353" s="5" t="s">
        <v>31</v>
      </c>
      <c r="M353" s="5" t="s">
        <v>32</v>
      </c>
      <c r="N353" s="5" t="s">
        <v>16</v>
      </c>
    </row>
    <row r="354" spans="1:14" ht="15.75" customHeight="1" x14ac:dyDescent="0.2">
      <c r="A354" s="5" t="s">
        <v>35</v>
      </c>
      <c r="B354" s="5">
        <v>2</v>
      </c>
      <c r="C354" s="5">
        <v>69.989999999999995</v>
      </c>
      <c r="D354" s="5" t="s">
        <v>103</v>
      </c>
      <c r="E354" s="5" t="s">
        <v>104</v>
      </c>
      <c r="F354" s="5" t="s">
        <v>92</v>
      </c>
      <c r="G354" s="5" t="s">
        <v>91</v>
      </c>
      <c r="H354" s="5" t="s">
        <v>61</v>
      </c>
      <c r="I354" s="5" t="s">
        <v>34</v>
      </c>
      <c r="J354" s="5" t="s">
        <v>29</v>
      </c>
      <c r="K354" s="5" t="s">
        <v>48</v>
      </c>
      <c r="L354" s="5" t="s">
        <v>31</v>
      </c>
      <c r="M354" s="5" t="s">
        <v>32</v>
      </c>
      <c r="N354" s="5" t="s">
        <v>16</v>
      </c>
    </row>
    <row r="355" spans="1:14" ht="15.75" customHeight="1" x14ac:dyDescent="0.2">
      <c r="A355" s="5" t="s">
        <v>36</v>
      </c>
      <c r="B355" s="5">
        <v>7</v>
      </c>
      <c r="C355" s="5">
        <v>314.82</v>
      </c>
      <c r="D355" s="5" t="s">
        <v>103</v>
      </c>
      <c r="E355" s="5" t="s">
        <v>104</v>
      </c>
      <c r="F355" s="5" t="s">
        <v>92</v>
      </c>
      <c r="G355" s="5" t="s">
        <v>90</v>
      </c>
      <c r="H355" s="5" t="s">
        <v>61</v>
      </c>
      <c r="I355" s="5" t="s">
        <v>36</v>
      </c>
      <c r="J355" s="5" t="s">
        <v>29</v>
      </c>
      <c r="K355" s="5" t="s">
        <v>48</v>
      </c>
      <c r="L355" s="5" t="s">
        <v>31</v>
      </c>
      <c r="M355" s="5" t="s">
        <v>32</v>
      </c>
      <c r="N355" s="5" t="s">
        <v>16</v>
      </c>
    </row>
    <row r="356" spans="1:14" ht="15.75" customHeight="1" x14ac:dyDescent="0.2">
      <c r="A356" s="5" t="s">
        <v>35</v>
      </c>
      <c r="B356" s="5">
        <v>7</v>
      </c>
      <c r="C356" s="5">
        <v>314.82</v>
      </c>
      <c r="D356" s="5" t="s">
        <v>103</v>
      </c>
      <c r="E356" s="5" t="s">
        <v>104</v>
      </c>
      <c r="F356" s="5" t="s">
        <v>92</v>
      </c>
      <c r="G356" s="5" t="s">
        <v>91</v>
      </c>
      <c r="H356" s="5" t="s">
        <v>61</v>
      </c>
      <c r="I356" s="5" t="s">
        <v>36</v>
      </c>
      <c r="J356" s="5" t="s">
        <v>29</v>
      </c>
      <c r="K356" s="5" t="s">
        <v>48</v>
      </c>
      <c r="L356" s="5" t="s">
        <v>31</v>
      </c>
      <c r="M356" s="5" t="s">
        <v>32</v>
      </c>
      <c r="N356" s="5" t="s">
        <v>16</v>
      </c>
    </row>
    <row r="357" spans="1:14" ht="15.75" customHeight="1" x14ac:dyDescent="0.2">
      <c r="A357" s="5" t="s">
        <v>37</v>
      </c>
      <c r="B357" s="5">
        <v>0</v>
      </c>
      <c r="C357" s="5">
        <v>0</v>
      </c>
      <c r="D357" s="5" t="s">
        <v>103</v>
      </c>
      <c r="E357" s="5" t="s">
        <v>104</v>
      </c>
      <c r="F357" s="5" t="s">
        <v>92</v>
      </c>
      <c r="G357" s="5" t="s">
        <v>90</v>
      </c>
      <c r="H357" s="5" t="s">
        <v>61</v>
      </c>
      <c r="I357" s="5" t="s">
        <v>37</v>
      </c>
      <c r="J357" s="5" t="s">
        <v>29</v>
      </c>
      <c r="K357" s="5" t="s">
        <v>48</v>
      </c>
      <c r="L357" s="5" t="s">
        <v>31</v>
      </c>
      <c r="M357" s="5" t="s">
        <v>32</v>
      </c>
      <c r="N357" s="5" t="s">
        <v>16</v>
      </c>
    </row>
    <row r="358" spans="1:14" ht="15.75" customHeight="1" x14ac:dyDescent="0.2">
      <c r="A358" s="5" t="s">
        <v>35</v>
      </c>
      <c r="B358" s="5">
        <v>0</v>
      </c>
      <c r="C358" s="5">
        <v>0</v>
      </c>
      <c r="D358" s="5" t="s">
        <v>103</v>
      </c>
      <c r="E358" s="5" t="s">
        <v>104</v>
      </c>
      <c r="F358" s="5" t="s">
        <v>92</v>
      </c>
      <c r="G358" s="5" t="s">
        <v>91</v>
      </c>
      <c r="H358" s="5" t="s">
        <v>61</v>
      </c>
      <c r="I358" s="5" t="s">
        <v>37</v>
      </c>
      <c r="J358" s="5" t="s">
        <v>29</v>
      </c>
      <c r="K358" s="5" t="s">
        <v>48</v>
      </c>
      <c r="L358" s="5" t="s">
        <v>31</v>
      </c>
      <c r="M358" s="5" t="s">
        <v>32</v>
      </c>
      <c r="N358" s="5" t="s">
        <v>16</v>
      </c>
    </row>
    <row r="359" spans="1:14" ht="15.75" customHeight="1" x14ac:dyDescent="0.2">
      <c r="A359" s="5" t="s">
        <v>38</v>
      </c>
      <c r="B359" s="5">
        <v>1</v>
      </c>
      <c r="C359" s="5">
        <v>44</v>
      </c>
      <c r="D359" s="5" t="s">
        <v>103</v>
      </c>
      <c r="E359" s="5" t="s">
        <v>104</v>
      </c>
      <c r="F359" s="5" t="s">
        <v>92</v>
      </c>
      <c r="G359" s="5" t="s">
        <v>90</v>
      </c>
      <c r="H359" s="5" t="s">
        <v>61</v>
      </c>
      <c r="I359" s="5" t="s">
        <v>38</v>
      </c>
      <c r="J359" s="5" t="s">
        <v>29</v>
      </c>
      <c r="K359" s="5" t="s">
        <v>48</v>
      </c>
      <c r="L359" s="5" t="s">
        <v>31</v>
      </c>
      <c r="M359" s="5" t="s">
        <v>32</v>
      </c>
      <c r="N359" s="5" t="s">
        <v>16</v>
      </c>
    </row>
    <row r="360" spans="1:14" ht="15.75" customHeight="1" x14ac:dyDescent="0.2">
      <c r="A360" s="5" t="s">
        <v>35</v>
      </c>
      <c r="B360" s="5">
        <v>1</v>
      </c>
      <c r="C360" s="5">
        <v>44</v>
      </c>
      <c r="D360" s="5" t="s">
        <v>103</v>
      </c>
      <c r="E360" s="5" t="s">
        <v>104</v>
      </c>
      <c r="F360" s="5" t="s">
        <v>92</v>
      </c>
      <c r="G360" s="5" t="s">
        <v>91</v>
      </c>
      <c r="H360" s="5" t="s">
        <v>61</v>
      </c>
      <c r="I360" s="5" t="s">
        <v>38</v>
      </c>
      <c r="J360" s="5" t="s">
        <v>29</v>
      </c>
      <c r="K360" s="5" t="s">
        <v>48</v>
      </c>
      <c r="L360" s="5" t="s">
        <v>31</v>
      </c>
      <c r="M360" s="5" t="s">
        <v>32</v>
      </c>
      <c r="N360" s="5" t="s">
        <v>16</v>
      </c>
    </row>
    <row r="361" spans="1:14" ht="15.75" customHeight="1" x14ac:dyDescent="0.2">
      <c r="A361" s="5" t="s">
        <v>39</v>
      </c>
      <c r="B361" s="5">
        <v>0</v>
      </c>
      <c r="C361" s="5">
        <v>0</v>
      </c>
      <c r="D361" s="5" t="s">
        <v>103</v>
      </c>
      <c r="E361" s="5" t="s">
        <v>104</v>
      </c>
      <c r="F361" s="5" t="s">
        <v>92</v>
      </c>
      <c r="G361" s="5" t="s">
        <v>90</v>
      </c>
      <c r="H361" s="5" t="s">
        <v>61</v>
      </c>
      <c r="I361" s="5" t="s">
        <v>39</v>
      </c>
      <c r="J361" s="5" t="s">
        <v>29</v>
      </c>
      <c r="K361" s="5" t="s">
        <v>48</v>
      </c>
      <c r="L361" s="5" t="s">
        <v>31</v>
      </c>
      <c r="M361" s="5" t="s">
        <v>32</v>
      </c>
      <c r="N361" s="5" t="s">
        <v>16</v>
      </c>
    </row>
    <row r="362" spans="1:14" ht="15.75" customHeight="1" x14ac:dyDescent="0.2">
      <c r="A362" s="5" t="s">
        <v>35</v>
      </c>
      <c r="B362" s="5">
        <v>0</v>
      </c>
      <c r="C362" s="5">
        <v>0</v>
      </c>
      <c r="D362" s="5" t="s">
        <v>103</v>
      </c>
      <c r="E362" s="5" t="s">
        <v>104</v>
      </c>
      <c r="F362" s="5" t="s">
        <v>92</v>
      </c>
      <c r="G362" s="5" t="s">
        <v>91</v>
      </c>
      <c r="H362" s="5" t="s">
        <v>61</v>
      </c>
      <c r="I362" s="5" t="s">
        <v>39</v>
      </c>
      <c r="J362" s="5" t="s">
        <v>29</v>
      </c>
      <c r="K362" s="5" t="s">
        <v>48</v>
      </c>
      <c r="L362" s="5" t="s">
        <v>31</v>
      </c>
      <c r="M362" s="5" t="s">
        <v>32</v>
      </c>
      <c r="N362" s="5" t="s">
        <v>16</v>
      </c>
    </row>
    <row r="363" spans="1:14" ht="15.75" customHeight="1" x14ac:dyDescent="0.2">
      <c r="A363" s="5" t="s">
        <v>40</v>
      </c>
      <c r="B363" s="5">
        <v>0</v>
      </c>
      <c r="C363" s="5">
        <v>0</v>
      </c>
      <c r="D363" s="5" t="s">
        <v>103</v>
      </c>
      <c r="E363" s="5" t="s">
        <v>104</v>
      </c>
      <c r="F363" s="5" t="s">
        <v>92</v>
      </c>
      <c r="G363" s="5" t="s">
        <v>90</v>
      </c>
      <c r="H363" s="5" t="s">
        <v>61</v>
      </c>
      <c r="I363" s="5" t="s">
        <v>40</v>
      </c>
      <c r="J363" s="5" t="s">
        <v>29</v>
      </c>
      <c r="K363" s="5" t="s">
        <v>48</v>
      </c>
      <c r="L363" s="5" t="s">
        <v>31</v>
      </c>
      <c r="M363" s="5" t="s">
        <v>32</v>
      </c>
      <c r="N363" s="5" t="s">
        <v>16</v>
      </c>
    </row>
    <row r="364" spans="1:14" ht="15.75" customHeight="1" x14ac:dyDescent="0.2">
      <c r="A364" s="5" t="s">
        <v>35</v>
      </c>
      <c r="B364" s="5">
        <v>0</v>
      </c>
      <c r="C364" s="5">
        <v>0</v>
      </c>
      <c r="D364" s="5" t="s">
        <v>103</v>
      </c>
      <c r="E364" s="5" t="s">
        <v>104</v>
      </c>
      <c r="F364" s="5" t="s">
        <v>92</v>
      </c>
      <c r="G364" s="5" t="s">
        <v>91</v>
      </c>
      <c r="H364" s="5" t="s">
        <v>61</v>
      </c>
      <c r="I364" s="5" t="s">
        <v>40</v>
      </c>
      <c r="J364" s="5" t="s">
        <v>29</v>
      </c>
      <c r="K364" s="5" t="s">
        <v>48</v>
      </c>
      <c r="L364" s="5" t="s">
        <v>31</v>
      </c>
      <c r="M364" s="5" t="s">
        <v>32</v>
      </c>
      <c r="N364" s="5" t="s">
        <v>16</v>
      </c>
    </row>
    <row r="365" spans="1:14" ht="15.75" customHeight="1" x14ac:dyDescent="0.2">
      <c r="A365" s="5" t="s">
        <v>41</v>
      </c>
      <c r="B365" s="5">
        <v>0</v>
      </c>
      <c r="C365" s="5">
        <v>0</v>
      </c>
      <c r="D365" s="5" t="s">
        <v>103</v>
      </c>
      <c r="E365" s="5" t="s">
        <v>104</v>
      </c>
      <c r="F365" s="5" t="s">
        <v>92</v>
      </c>
      <c r="G365" s="5" t="s">
        <v>90</v>
      </c>
      <c r="H365" s="5" t="s">
        <v>61</v>
      </c>
      <c r="I365" s="5" t="s">
        <v>41</v>
      </c>
      <c r="J365" s="5" t="s">
        <v>29</v>
      </c>
      <c r="K365" s="5" t="s">
        <v>48</v>
      </c>
      <c r="L365" s="5" t="s">
        <v>31</v>
      </c>
      <c r="M365" s="5" t="s">
        <v>32</v>
      </c>
      <c r="N365" s="5" t="s">
        <v>16</v>
      </c>
    </row>
    <row r="366" spans="1:14" ht="15.75" customHeight="1" x14ac:dyDescent="0.2">
      <c r="A366" s="5" t="s">
        <v>35</v>
      </c>
      <c r="B366" s="5">
        <v>0</v>
      </c>
      <c r="C366" s="5">
        <v>0</v>
      </c>
      <c r="D366" s="5" t="s">
        <v>103</v>
      </c>
      <c r="E366" s="5" t="s">
        <v>104</v>
      </c>
      <c r="F366" s="5" t="s">
        <v>92</v>
      </c>
      <c r="G366" s="5" t="s">
        <v>91</v>
      </c>
      <c r="H366" s="5" t="s">
        <v>61</v>
      </c>
      <c r="I366" s="5" t="s">
        <v>41</v>
      </c>
      <c r="J366" s="5" t="s">
        <v>29</v>
      </c>
      <c r="K366" s="5" t="s">
        <v>48</v>
      </c>
      <c r="L366" s="5" t="s">
        <v>31</v>
      </c>
      <c r="M366" s="5" t="s">
        <v>32</v>
      </c>
      <c r="N366" s="5" t="s">
        <v>16</v>
      </c>
    </row>
    <row r="367" spans="1:14" ht="15.75" customHeight="1" x14ac:dyDescent="0.2">
      <c r="A367" s="5" t="s">
        <v>42</v>
      </c>
      <c r="B367" s="5">
        <v>8</v>
      </c>
      <c r="C367" s="5">
        <v>361.98</v>
      </c>
      <c r="D367" s="5" t="s">
        <v>103</v>
      </c>
      <c r="E367" s="5" t="s">
        <v>104</v>
      </c>
      <c r="F367" s="5" t="s">
        <v>92</v>
      </c>
      <c r="G367" s="5" t="s">
        <v>90</v>
      </c>
      <c r="H367" s="5" t="s">
        <v>61</v>
      </c>
      <c r="I367" s="5" t="s">
        <v>42</v>
      </c>
      <c r="J367" s="5" t="s">
        <v>29</v>
      </c>
      <c r="K367" s="5" t="s">
        <v>48</v>
      </c>
      <c r="L367" s="5" t="s">
        <v>31</v>
      </c>
      <c r="M367" s="5" t="s">
        <v>32</v>
      </c>
      <c r="N367" s="5" t="s">
        <v>16</v>
      </c>
    </row>
    <row r="368" spans="1:14" ht="15.75" customHeight="1" x14ac:dyDescent="0.2">
      <c r="A368" s="5" t="s">
        <v>35</v>
      </c>
      <c r="B368" s="5">
        <v>8</v>
      </c>
      <c r="C368" s="5">
        <v>361.98</v>
      </c>
      <c r="D368" s="5" t="s">
        <v>103</v>
      </c>
      <c r="E368" s="5" t="s">
        <v>104</v>
      </c>
      <c r="F368" s="5" t="s">
        <v>92</v>
      </c>
      <c r="G368" s="5" t="s">
        <v>91</v>
      </c>
      <c r="H368" s="5" t="s">
        <v>61</v>
      </c>
      <c r="I368" s="5" t="s">
        <v>42</v>
      </c>
      <c r="J368" s="5" t="s">
        <v>29</v>
      </c>
      <c r="K368" s="5" t="s">
        <v>48</v>
      </c>
      <c r="L368" s="5" t="s">
        <v>31</v>
      </c>
      <c r="M368" s="5" t="s">
        <v>32</v>
      </c>
      <c r="N368" s="5" t="s">
        <v>16</v>
      </c>
    </row>
    <row r="369" spans="1:14" ht="15.75" customHeight="1" x14ac:dyDescent="0.2">
      <c r="A369" s="5" t="s">
        <v>43</v>
      </c>
      <c r="B369" s="5">
        <v>0</v>
      </c>
      <c r="C369" s="5">
        <v>0</v>
      </c>
      <c r="D369" s="5" t="s">
        <v>103</v>
      </c>
      <c r="E369" s="5" t="s">
        <v>104</v>
      </c>
      <c r="F369" s="5" t="s">
        <v>92</v>
      </c>
      <c r="G369" s="5" t="s">
        <v>90</v>
      </c>
      <c r="H369" s="5" t="s">
        <v>61</v>
      </c>
      <c r="I369" s="5" t="s">
        <v>43</v>
      </c>
      <c r="J369" s="5" t="s">
        <v>29</v>
      </c>
      <c r="K369" s="5" t="s">
        <v>48</v>
      </c>
      <c r="L369" s="5" t="s">
        <v>31</v>
      </c>
      <c r="M369" s="5" t="s">
        <v>32</v>
      </c>
      <c r="N369" s="5" t="s">
        <v>16</v>
      </c>
    </row>
    <row r="370" spans="1:14" ht="15.75" customHeight="1" x14ac:dyDescent="0.2">
      <c r="A370" s="5" t="s">
        <v>35</v>
      </c>
      <c r="B370" s="5">
        <v>0</v>
      </c>
      <c r="C370" s="5">
        <v>0</v>
      </c>
      <c r="D370" s="5" t="s">
        <v>103</v>
      </c>
      <c r="E370" s="5" t="s">
        <v>104</v>
      </c>
      <c r="F370" s="5" t="s">
        <v>92</v>
      </c>
      <c r="G370" s="5" t="s">
        <v>91</v>
      </c>
      <c r="H370" s="5" t="s">
        <v>61</v>
      </c>
      <c r="I370" s="5" t="s">
        <v>43</v>
      </c>
      <c r="J370" s="5" t="s">
        <v>29</v>
      </c>
      <c r="K370" s="5" t="s">
        <v>48</v>
      </c>
      <c r="L370" s="5" t="s">
        <v>31</v>
      </c>
      <c r="M370" s="5" t="s">
        <v>32</v>
      </c>
      <c r="N370" s="5" t="s">
        <v>16</v>
      </c>
    </row>
    <row r="371" spans="1:14" ht="15.75" customHeight="1" x14ac:dyDescent="0.2">
      <c r="A371" s="5" t="s">
        <v>44</v>
      </c>
      <c r="B371" s="5">
        <v>0</v>
      </c>
      <c r="C371" s="5">
        <v>0</v>
      </c>
      <c r="D371" s="5" t="s">
        <v>103</v>
      </c>
      <c r="E371" s="5" t="s">
        <v>104</v>
      </c>
      <c r="F371" s="5" t="s">
        <v>92</v>
      </c>
      <c r="G371" s="5" t="s">
        <v>90</v>
      </c>
      <c r="H371" s="5" t="s">
        <v>61</v>
      </c>
      <c r="I371" s="5" t="s">
        <v>44</v>
      </c>
      <c r="J371" s="5" t="s">
        <v>29</v>
      </c>
      <c r="K371" s="5" t="s">
        <v>48</v>
      </c>
      <c r="L371" s="5" t="s">
        <v>31</v>
      </c>
      <c r="M371" s="5" t="s">
        <v>32</v>
      </c>
      <c r="N371" s="5" t="s">
        <v>16</v>
      </c>
    </row>
    <row r="372" spans="1:14" ht="15.75" customHeight="1" x14ac:dyDescent="0.2">
      <c r="A372" s="5" t="s">
        <v>35</v>
      </c>
      <c r="B372" s="5">
        <v>0</v>
      </c>
      <c r="C372" s="5">
        <v>0</v>
      </c>
      <c r="D372" s="5" t="s">
        <v>103</v>
      </c>
      <c r="E372" s="5" t="s">
        <v>104</v>
      </c>
      <c r="F372" s="5" t="s">
        <v>92</v>
      </c>
      <c r="G372" s="5" t="s">
        <v>91</v>
      </c>
      <c r="H372" s="5" t="s">
        <v>61</v>
      </c>
      <c r="I372" s="5" t="s">
        <v>44</v>
      </c>
      <c r="J372" s="5" t="s">
        <v>29</v>
      </c>
      <c r="K372" s="5" t="s">
        <v>48</v>
      </c>
      <c r="L372" s="5" t="s">
        <v>31</v>
      </c>
      <c r="M372" s="5" t="s">
        <v>32</v>
      </c>
      <c r="N372" s="5" t="s">
        <v>16</v>
      </c>
    </row>
    <row r="373" spans="1:14" ht="15.75" customHeight="1" x14ac:dyDescent="0.2">
      <c r="A373" s="5" t="s">
        <v>45</v>
      </c>
      <c r="B373" s="5">
        <v>0</v>
      </c>
      <c r="C373" s="5">
        <v>0</v>
      </c>
      <c r="D373" s="5" t="s">
        <v>103</v>
      </c>
      <c r="E373" s="5" t="s">
        <v>104</v>
      </c>
      <c r="F373" s="5" t="s">
        <v>92</v>
      </c>
      <c r="G373" s="5" t="s">
        <v>90</v>
      </c>
      <c r="H373" s="5" t="s">
        <v>61</v>
      </c>
      <c r="I373" s="5" t="s">
        <v>45</v>
      </c>
      <c r="J373" s="5" t="s">
        <v>29</v>
      </c>
      <c r="K373" s="5" t="s">
        <v>48</v>
      </c>
      <c r="L373" s="5" t="s">
        <v>31</v>
      </c>
      <c r="M373" s="5" t="s">
        <v>32</v>
      </c>
      <c r="N373" s="5" t="s">
        <v>16</v>
      </c>
    </row>
    <row r="374" spans="1:14" ht="15.75" customHeight="1" x14ac:dyDescent="0.2">
      <c r="A374" s="5" t="s">
        <v>35</v>
      </c>
      <c r="B374" s="5">
        <v>0</v>
      </c>
      <c r="C374" s="5">
        <v>0</v>
      </c>
      <c r="D374" s="5" t="s">
        <v>103</v>
      </c>
      <c r="E374" s="5" t="s">
        <v>104</v>
      </c>
      <c r="F374" s="5" t="s">
        <v>92</v>
      </c>
      <c r="G374" s="5" t="s">
        <v>91</v>
      </c>
      <c r="H374" s="5" t="s">
        <v>61</v>
      </c>
      <c r="I374" s="5" t="s">
        <v>45</v>
      </c>
      <c r="J374" s="5" t="s">
        <v>29</v>
      </c>
      <c r="K374" s="5" t="s">
        <v>48</v>
      </c>
      <c r="L374" s="5" t="s">
        <v>31</v>
      </c>
      <c r="M374" s="5" t="s">
        <v>32</v>
      </c>
      <c r="N374" s="5" t="s">
        <v>16</v>
      </c>
    </row>
    <row r="375" spans="1:14" ht="15.75" customHeight="1" x14ac:dyDescent="0.2">
      <c r="A375" s="5" t="s">
        <v>46</v>
      </c>
      <c r="B375" s="5">
        <v>0</v>
      </c>
      <c r="C375" s="5">
        <v>0</v>
      </c>
      <c r="D375" s="5" t="s">
        <v>103</v>
      </c>
      <c r="E375" s="5" t="s">
        <v>104</v>
      </c>
      <c r="F375" s="5" t="s">
        <v>92</v>
      </c>
      <c r="G375" s="5" t="s">
        <v>90</v>
      </c>
      <c r="H375" s="5" t="s">
        <v>61</v>
      </c>
      <c r="I375" s="5" t="s">
        <v>46</v>
      </c>
      <c r="J375" s="5" t="s">
        <v>29</v>
      </c>
      <c r="K375" s="5" t="s">
        <v>48</v>
      </c>
      <c r="L375" s="5" t="s">
        <v>31</v>
      </c>
      <c r="M375" s="5" t="s">
        <v>32</v>
      </c>
      <c r="N375" s="5" t="s">
        <v>16</v>
      </c>
    </row>
    <row r="376" spans="1:14" ht="15.75" customHeight="1" x14ac:dyDescent="0.2">
      <c r="A376" s="5" t="s">
        <v>35</v>
      </c>
      <c r="B376" s="5">
        <v>0</v>
      </c>
      <c r="C376" s="5">
        <v>0</v>
      </c>
      <c r="D376" s="5" t="s">
        <v>103</v>
      </c>
      <c r="E376" s="5" t="s">
        <v>104</v>
      </c>
      <c r="F376" s="5" t="s">
        <v>92</v>
      </c>
      <c r="G376" s="5" t="s">
        <v>91</v>
      </c>
      <c r="H376" s="5" t="s">
        <v>61</v>
      </c>
      <c r="I376" s="5" t="s">
        <v>46</v>
      </c>
      <c r="J376" s="5" t="s">
        <v>29</v>
      </c>
      <c r="K376" s="5" t="s">
        <v>48</v>
      </c>
      <c r="L376" s="5" t="s">
        <v>31</v>
      </c>
      <c r="M376" s="5" t="s">
        <v>32</v>
      </c>
      <c r="N376" s="5" t="s">
        <v>16</v>
      </c>
    </row>
    <row r="377" spans="1:14" ht="15.75" customHeight="1" x14ac:dyDescent="0.2">
      <c r="A377" s="5" t="s">
        <v>87</v>
      </c>
      <c r="B377" s="5">
        <v>18</v>
      </c>
      <c r="C377" s="5">
        <v>882.14</v>
      </c>
      <c r="D377" s="5" t="s">
        <v>105</v>
      </c>
      <c r="E377" s="5" t="s">
        <v>104</v>
      </c>
      <c r="F377" s="5" t="s">
        <v>92</v>
      </c>
      <c r="G377" s="5" t="s">
        <v>89</v>
      </c>
      <c r="H377" s="5" t="s">
        <v>60</v>
      </c>
      <c r="I377" s="5" t="s">
        <v>87</v>
      </c>
      <c r="J377" s="5" t="s">
        <v>29</v>
      </c>
      <c r="K377" s="5" t="s">
        <v>48</v>
      </c>
      <c r="L377" s="5" t="s">
        <v>31</v>
      </c>
      <c r="M377" s="5" t="s">
        <v>32</v>
      </c>
      <c r="N377" s="5" t="s">
        <v>16</v>
      </c>
    </row>
    <row r="378" spans="1:14" ht="15.75" customHeight="1" x14ac:dyDescent="0.2">
      <c r="A378" s="5" t="s">
        <v>34</v>
      </c>
      <c r="B378" s="5">
        <v>0</v>
      </c>
      <c r="C378" s="5">
        <v>0</v>
      </c>
      <c r="D378" s="5" t="s">
        <v>105</v>
      </c>
      <c r="E378" s="5" t="s">
        <v>104</v>
      </c>
      <c r="F378" s="5" t="s">
        <v>92</v>
      </c>
      <c r="G378" s="5" t="s">
        <v>90</v>
      </c>
      <c r="H378" s="5" t="s">
        <v>60</v>
      </c>
      <c r="I378" s="5" t="s">
        <v>34</v>
      </c>
      <c r="J378" s="5" t="s">
        <v>29</v>
      </c>
      <c r="K378" s="5" t="s">
        <v>48</v>
      </c>
      <c r="L378" s="5" t="s">
        <v>31</v>
      </c>
      <c r="M378" s="5" t="s">
        <v>32</v>
      </c>
      <c r="N378" s="5" t="s">
        <v>16</v>
      </c>
    </row>
    <row r="379" spans="1:14" ht="15.75" customHeight="1" x14ac:dyDescent="0.2">
      <c r="A379" s="5" t="s">
        <v>35</v>
      </c>
      <c r="B379" s="5">
        <v>0</v>
      </c>
      <c r="C379" s="5">
        <v>0</v>
      </c>
      <c r="D379" s="5" t="s">
        <v>105</v>
      </c>
      <c r="E379" s="5" t="s">
        <v>104</v>
      </c>
      <c r="F379" s="5" t="s">
        <v>92</v>
      </c>
      <c r="G379" s="5" t="s">
        <v>91</v>
      </c>
      <c r="H379" s="5" t="s">
        <v>60</v>
      </c>
      <c r="I379" s="5" t="s">
        <v>34</v>
      </c>
      <c r="J379" s="5" t="s">
        <v>29</v>
      </c>
      <c r="K379" s="5" t="s">
        <v>48</v>
      </c>
      <c r="L379" s="5" t="s">
        <v>31</v>
      </c>
      <c r="M379" s="5" t="s">
        <v>32</v>
      </c>
      <c r="N379" s="5" t="s">
        <v>16</v>
      </c>
    </row>
    <row r="380" spans="1:14" ht="15.75" customHeight="1" x14ac:dyDescent="0.2">
      <c r="A380" s="5" t="s">
        <v>36</v>
      </c>
      <c r="B380" s="5">
        <v>14</v>
      </c>
      <c r="C380" s="5">
        <v>693.59</v>
      </c>
      <c r="D380" s="5" t="s">
        <v>105</v>
      </c>
      <c r="E380" s="5" t="s">
        <v>104</v>
      </c>
      <c r="F380" s="5" t="s">
        <v>92</v>
      </c>
      <c r="G380" s="5" t="s">
        <v>90</v>
      </c>
      <c r="H380" s="5" t="s">
        <v>60</v>
      </c>
      <c r="I380" s="5" t="s">
        <v>36</v>
      </c>
      <c r="J380" s="5" t="s">
        <v>29</v>
      </c>
      <c r="K380" s="5" t="s">
        <v>48</v>
      </c>
      <c r="L380" s="5" t="s">
        <v>31</v>
      </c>
      <c r="M380" s="5" t="s">
        <v>32</v>
      </c>
      <c r="N380" s="5" t="s">
        <v>16</v>
      </c>
    </row>
    <row r="381" spans="1:14" ht="15.75" customHeight="1" x14ac:dyDescent="0.2">
      <c r="A381" s="5" t="s">
        <v>35</v>
      </c>
      <c r="B381" s="5">
        <v>14</v>
      </c>
      <c r="C381" s="5">
        <v>693.59</v>
      </c>
      <c r="D381" s="5" t="s">
        <v>105</v>
      </c>
      <c r="E381" s="5" t="s">
        <v>104</v>
      </c>
      <c r="F381" s="5" t="s">
        <v>92</v>
      </c>
      <c r="G381" s="5" t="s">
        <v>91</v>
      </c>
      <c r="H381" s="5" t="s">
        <v>60</v>
      </c>
      <c r="I381" s="5" t="s">
        <v>36</v>
      </c>
      <c r="J381" s="5" t="s">
        <v>29</v>
      </c>
      <c r="K381" s="5" t="s">
        <v>48</v>
      </c>
      <c r="L381" s="5" t="s">
        <v>31</v>
      </c>
      <c r="M381" s="5" t="s">
        <v>32</v>
      </c>
      <c r="N381" s="5" t="s">
        <v>16</v>
      </c>
    </row>
    <row r="382" spans="1:14" ht="15.75" customHeight="1" x14ac:dyDescent="0.2">
      <c r="A382" s="5" t="s">
        <v>37</v>
      </c>
      <c r="B382" s="5">
        <v>1</v>
      </c>
      <c r="C382" s="5">
        <v>40.5</v>
      </c>
      <c r="D382" s="5" t="s">
        <v>105</v>
      </c>
      <c r="E382" s="5" t="s">
        <v>104</v>
      </c>
      <c r="F382" s="5" t="s">
        <v>92</v>
      </c>
      <c r="G382" s="5" t="s">
        <v>90</v>
      </c>
      <c r="H382" s="5" t="s">
        <v>60</v>
      </c>
      <c r="I382" s="5" t="s">
        <v>37</v>
      </c>
      <c r="J382" s="5" t="s">
        <v>29</v>
      </c>
      <c r="K382" s="5" t="s">
        <v>48</v>
      </c>
      <c r="L382" s="5" t="s">
        <v>31</v>
      </c>
      <c r="M382" s="5" t="s">
        <v>32</v>
      </c>
      <c r="N382" s="5" t="s">
        <v>16</v>
      </c>
    </row>
    <row r="383" spans="1:14" ht="15.75" customHeight="1" x14ac:dyDescent="0.2">
      <c r="A383" s="5" t="s">
        <v>35</v>
      </c>
      <c r="B383" s="5">
        <v>1</v>
      </c>
      <c r="C383" s="5">
        <v>40.5</v>
      </c>
      <c r="D383" s="5" t="s">
        <v>105</v>
      </c>
      <c r="E383" s="5" t="s">
        <v>104</v>
      </c>
      <c r="F383" s="5" t="s">
        <v>92</v>
      </c>
      <c r="G383" s="5" t="s">
        <v>91</v>
      </c>
      <c r="H383" s="5" t="s">
        <v>60</v>
      </c>
      <c r="I383" s="5" t="s">
        <v>37</v>
      </c>
      <c r="J383" s="5" t="s">
        <v>29</v>
      </c>
      <c r="K383" s="5" t="s">
        <v>48</v>
      </c>
      <c r="L383" s="5" t="s">
        <v>31</v>
      </c>
      <c r="M383" s="5" t="s">
        <v>32</v>
      </c>
      <c r="N383" s="5" t="s">
        <v>16</v>
      </c>
    </row>
    <row r="384" spans="1:14" ht="15.75" customHeight="1" x14ac:dyDescent="0.2">
      <c r="A384" s="5" t="s">
        <v>38</v>
      </c>
      <c r="B384" s="5">
        <v>0</v>
      </c>
      <c r="C384" s="5">
        <v>0</v>
      </c>
      <c r="D384" s="5" t="s">
        <v>105</v>
      </c>
      <c r="E384" s="5" t="s">
        <v>104</v>
      </c>
      <c r="F384" s="5" t="s">
        <v>92</v>
      </c>
      <c r="G384" s="5" t="s">
        <v>90</v>
      </c>
      <c r="H384" s="5" t="s">
        <v>60</v>
      </c>
      <c r="I384" s="5" t="s">
        <v>38</v>
      </c>
      <c r="J384" s="5" t="s">
        <v>29</v>
      </c>
      <c r="K384" s="5" t="s">
        <v>48</v>
      </c>
      <c r="L384" s="5" t="s">
        <v>31</v>
      </c>
      <c r="M384" s="5" t="s">
        <v>32</v>
      </c>
      <c r="N384" s="5" t="s">
        <v>16</v>
      </c>
    </row>
    <row r="385" spans="1:14" ht="15.75" customHeight="1" x14ac:dyDescent="0.2">
      <c r="A385" s="5" t="s">
        <v>35</v>
      </c>
      <c r="B385" s="5">
        <v>0</v>
      </c>
      <c r="C385" s="5">
        <v>0</v>
      </c>
      <c r="D385" s="5" t="s">
        <v>105</v>
      </c>
      <c r="E385" s="5" t="s">
        <v>104</v>
      </c>
      <c r="F385" s="5" t="s">
        <v>92</v>
      </c>
      <c r="G385" s="5" t="s">
        <v>91</v>
      </c>
      <c r="H385" s="5" t="s">
        <v>60</v>
      </c>
      <c r="I385" s="5" t="s">
        <v>38</v>
      </c>
      <c r="J385" s="5" t="s">
        <v>29</v>
      </c>
      <c r="K385" s="5" t="s">
        <v>48</v>
      </c>
      <c r="L385" s="5" t="s">
        <v>31</v>
      </c>
      <c r="M385" s="5" t="s">
        <v>32</v>
      </c>
      <c r="N385" s="5" t="s">
        <v>16</v>
      </c>
    </row>
    <row r="386" spans="1:14" ht="15.75" customHeight="1" x14ac:dyDescent="0.2">
      <c r="A386" s="5" t="s">
        <v>39</v>
      </c>
      <c r="B386" s="5">
        <v>0</v>
      </c>
      <c r="C386" s="5">
        <v>0</v>
      </c>
      <c r="D386" s="5" t="s">
        <v>105</v>
      </c>
      <c r="E386" s="5" t="s">
        <v>104</v>
      </c>
      <c r="F386" s="5" t="s">
        <v>92</v>
      </c>
      <c r="G386" s="5" t="s">
        <v>90</v>
      </c>
      <c r="H386" s="5" t="s">
        <v>60</v>
      </c>
      <c r="I386" s="5" t="s">
        <v>39</v>
      </c>
      <c r="J386" s="5" t="s">
        <v>29</v>
      </c>
      <c r="K386" s="5" t="s">
        <v>48</v>
      </c>
      <c r="L386" s="5" t="s">
        <v>31</v>
      </c>
      <c r="M386" s="5" t="s">
        <v>32</v>
      </c>
      <c r="N386" s="5" t="s">
        <v>16</v>
      </c>
    </row>
    <row r="387" spans="1:14" ht="15.75" customHeight="1" x14ac:dyDescent="0.2">
      <c r="A387" s="5" t="s">
        <v>35</v>
      </c>
      <c r="B387" s="5">
        <v>0</v>
      </c>
      <c r="C387" s="5">
        <v>0</v>
      </c>
      <c r="D387" s="5" t="s">
        <v>105</v>
      </c>
      <c r="E387" s="5" t="s">
        <v>104</v>
      </c>
      <c r="F387" s="5" t="s">
        <v>92</v>
      </c>
      <c r="G387" s="5" t="s">
        <v>91</v>
      </c>
      <c r="H387" s="5" t="s">
        <v>60</v>
      </c>
      <c r="I387" s="5" t="s">
        <v>39</v>
      </c>
      <c r="J387" s="5" t="s">
        <v>29</v>
      </c>
      <c r="K387" s="5" t="s">
        <v>48</v>
      </c>
      <c r="L387" s="5" t="s">
        <v>31</v>
      </c>
      <c r="M387" s="5" t="s">
        <v>32</v>
      </c>
      <c r="N387" s="5" t="s">
        <v>16</v>
      </c>
    </row>
    <row r="388" spans="1:14" ht="15.75" customHeight="1" x14ac:dyDescent="0.2">
      <c r="A388" s="5" t="s">
        <v>40</v>
      </c>
      <c r="B388" s="5">
        <v>0</v>
      </c>
      <c r="C388" s="5">
        <v>0</v>
      </c>
      <c r="D388" s="5" t="s">
        <v>105</v>
      </c>
      <c r="E388" s="5" t="s">
        <v>104</v>
      </c>
      <c r="F388" s="5" t="s">
        <v>92</v>
      </c>
      <c r="G388" s="5" t="s">
        <v>90</v>
      </c>
      <c r="H388" s="5" t="s">
        <v>60</v>
      </c>
      <c r="I388" s="5" t="s">
        <v>40</v>
      </c>
      <c r="J388" s="5" t="s">
        <v>29</v>
      </c>
      <c r="K388" s="5" t="s">
        <v>48</v>
      </c>
      <c r="L388" s="5" t="s">
        <v>31</v>
      </c>
      <c r="M388" s="5" t="s">
        <v>32</v>
      </c>
      <c r="N388" s="5" t="s">
        <v>16</v>
      </c>
    </row>
    <row r="389" spans="1:14" ht="15.75" customHeight="1" x14ac:dyDescent="0.2">
      <c r="A389" s="5" t="s">
        <v>35</v>
      </c>
      <c r="B389" s="5">
        <v>0</v>
      </c>
      <c r="C389" s="5">
        <v>0</v>
      </c>
      <c r="D389" s="5" t="s">
        <v>105</v>
      </c>
      <c r="E389" s="5" t="s">
        <v>104</v>
      </c>
      <c r="F389" s="5" t="s">
        <v>92</v>
      </c>
      <c r="G389" s="5" t="s">
        <v>91</v>
      </c>
      <c r="H389" s="5" t="s">
        <v>60</v>
      </c>
      <c r="I389" s="5" t="s">
        <v>40</v>
      </c>
      <c r="J389" s="5" t="s">
        <v>29</v>
      </c>
      <c r="K389" s="5" t="s">
        <v>48</v>
      </c>
      <c r="L389" s="5" t="s">
        <v>31</v>
      </c>
      <c r="M389" s="5" t="s">
        <v>32</v>
      </c>
      <c r="N389" s="5" t="s">
        <v>16</v>
      </c>
    </row>
    <row r="390" spans="1:14" ht="15.75" customHeight="1" x14ac:dyDescent="0.2">
      <c r="A390" s="5" t="s">
        <v>41</v>
      </c>
      <c r="B390" s="5">
        <v>0</v>
      </c>
      <c r="C390" s="5">
        <v>0</v>
      </c>
      <c r="D390" s="5" t="s">
        <v>105</v>
      </c>
      <c r="E390" s="5" t="s">
        <v>104</v>
      </c>
      <c r="F390" s="5" t="s">
        <v>92</v>
      </c>
      <c r="G390" s="5" t="s">
        <v>90</v>
      </c>
      <c r="H390" s="5" t="s">
        <v>60</v>
      </c>
      <c r="I390" s="5" t="s">
        <v>41</v>
      </c>
      <c r="J390" s="5" t="s">
        <v>29</v>
      </c>
      <c r="K390" s="5" t="s">
        <v>48</v>
      </c>
      <c r="L390" s="5" t="s">
        <v>31</v>
      </c>
      <c r="M390" s="5" t="s">
        <v>32</v>
      </c>
      <c r="N390" s="5" t="s">
        <v>16</v>
      </c>
    </row>
    <row r="391" spans="1:14" ht="15.75" customHeight="1" x14ac:dyDescent="0.2">
      <c r="A391" s="5" t="s">
        <v>35</v>
      </c>
      <c r="B391" s="5">
        <v>0</v>
      </c>
      <c r="C391" s="5">
        <v>0</v>
      </c>
      <c r="D391" s="5" t="s">
        <v>105</v>
      </c>
      <c r="E391" s="5" t="s">
        <v>104</v>
      </c>
      <c r="F391" s="5" t="s">
        <v>92</v>
      </c>
      <c r="G391" s="5" t="s">
        <v>91</v>
      </c>
      <c r="H391" s="5" t="s">
        <v>60</v>
      </c>
      <c r="I391" s="5" t="s">
        <v>41</v>
      </c>
      <c r="J391" s="5" t="s">
        <v>29</v>
      </c>
      <c r="K391" s="5" t="s">
        <v>48</v>
      </c>
      <c r="L391" s="5" t="s">
        <v>31</v>
      </c>
      <c r="M391" s="5" t="s">
        <v>32</v>
      </c>
      <c r="N391" s="5" t="s">
        <v>16</v>
      </c>
    </row>
    <row r="392" spans="1:14" ht="15.75" customHeight="1" x14ac:dyDescent="0.2">
      <c r="A392" s="5" t="s">
        <v>42</v>
      </c>
      <c r="B392" s="5">
        <v>3</v>
      </c>
      <c r="C392" s="5">
        <v>148.05000000000001</v>
      </c>
      <c r="D392" s="5" t="s">
        <v>105</v>
      </c>
      <c r="E392" s="5" t="s">
        <v>104</v>
      </c>
      <c r="F392" s="5" t="s">
        <v>92</v>
      </c>
      <c r="G392" s="5" t="s">
        <v>90</v>
      </c>
      <c r="H392" s="5" t="s">
        <v>60</v>
      </c>
      <c r="I392" s="5" t="s">
        <v>42</v>
      </c>
      <c r="J392" s="5" t="s">
        <v>29</v>
      </c>
      <c r="K392" s="5" t="s">
        <v>48</v>
      </c>
      <c r="L392" s="5" t="s">
        <v>31</v>
      </c>
      <c r="M392" s="5" t="s">
        <v>32</v>
      </c>
      <c r="N392" s="5" t="s">
        <v>16</v>
      </c>
    </row>
    <row r="393" spans="1:14" ht="15.75" customHeight="1" x14ac:dyDescent="0.2">
      <c r="A393" s="5" t="s">
        <v>35</v>
      </c>
      <c r="B393" s="5">
        <v>3</v>
      </c>
      <c r="C393" s="5">
        <v>148.05000000000001</v>
      </c>
      <c r="D393" s="5" t="s">
        <v>105</v>
      </c>
      <c r="E393" s="5" t="s">
        <v>104</v>
      </c>
      <c r="F393" s="5" t="s">
        <v>92</v>
      </c>
      <c r="G393" s="5" t="s">
        <v>91</v>
      </c>
      <c r="H393" s="5" t="s">
        <v>60</v>
      </c>
      <c r="I393" s="5" t="s">
        <v>42</v>
      </c>
      <c r="J393" s="5" t="s">
        <v>29</v>
      </c>
      <c r="K393" s="5" t="s">
        <v>48</v>
      </c>
      <c r="L393" s="5" t="s">
        <v>31</v>
      </c>
      <c r="M393" s="5" t="s">
        <v>32</v>
      </c>
      <c r="N393" s="5" t="s">
        <v>16</v>
      </c>
    </row>
    <row r="394" spans="1:14" ht="15.75" customHeight="1" x14ac:dyDescent="0.2">
      <c r="A394" s="5" t="s">
        <v>43</v>
      </c>
      <c r="B394" s="5">
        <v>0</v>
      </c>
      <c r="C394" s="5">
        <v>0</v>
      </c>
      <c r="D394" s="5" t="s">
        <v>105</v>
      </c>
      <c r="E394" s="5" t="s">
        <v>104</v>
      </c>
      <c r="F394" s="5" t="s">
        <v>92</v>
      </c>
      <c r="G394" s="5" t="s">
        <v>90</v>
      </c>
      <c r="H394" s="5" t="s">
        <v>60</v>
      </c>
      <c r="I394" s="5" t="s">
        <v>43</v>
      </c>
      <c r="J394" s="5" t="s">
        <v>29</v>
      </c>
      <c r="K394" s="5" t="s">
        <v>48</v>
      </c>
      <c r="L394" s="5" t="s">
        <v>31</v>
      </c>
      <c r="M394" s="5" t="s">
        <v>32</v>
      </c>
      <c r="N394" s="5" t="s">
        <v>16</v>
      </c>
    </row>
    <row r="395" spans="1:14" ht="15.75" customHeight="1" x14ac:dyDescent="0.2">
      <c r="A395" s="5" t="s">
        <v>35</v>
      </c>
      <c r="B395" s="5">
        <v>0</v>
      </c>
      <c r="C395" s="5">
        <v>0</v>
      </c>
      <c r="D395" s="5" t="s">
        <v>105</v>
      </c>
      <c r="E395" s="5" t="s">
        <v>104</v>
      </c>
      <c r="F395" s="5" t="s">
        <v>92</v>
      </c>
      <c r="G395" s="5" t="s">
        <v>91</v>
      </c>
      <c r="H395" s="5" t="s">
        <v>60</v>
      </c>
      <c r="I395" s="5" t="s">
        <v>43</v>
      </c>
      <c r="J395" s="5" t="s">
        <v>29</v>
      </c>
      <c r="K395" s="5" t="s">
        <v>48</v>
      </c>
      <c r="L395" s="5" t="s">
        <v>31</v>
      </c>
      <c r="M395" s="5" t="s">
        <v>32</v>
      </c>
      <c r="N395" s="5" t="s">
        <v>16</v>
      </c>
    </row>
    <row r="396" spans="1:14" ht="15.75" customHeight="1" x14ac:dyDescent="0.2">
      <c r="A396" s="5" t="s">
        <v>44</v>
      </c>
      <c r="B396" s="5">
        <v>0</v>
      </c>
      <c r="C396" s="5">
        <v>0</v>
      </c>
      <c r="D396" s="5" t="s">
        <v>105</v>
      </c>
      <c r="E396" s="5" t="s">
        <v>104</v>
      </c>
      <c r="F396" s="5" t="s">
        <v>92</v>
      </c>
      <c r="G396" s="5" t="s">
        <v>90</v>
      </c>
      <c r="H396" s="5" t="s">
        <v>60</v>
      </c>
      <c r="I396" s="5" t="s">
        <v>44</v>
      </c>
      <c r="J396" s="5" t="s">
        <v>29</v>
      </c>
      <c r="K396" s="5" t="s">
        <v>48</v>
      </c>
      <c r="L396" s="5" t="s">
        <v>31</v>
      </c>
      <c r="M396" s="5" t="s">
        <v>32</v>
      </c>
      <c r="N396" s="5" t="s">
        <v>16</v>
      </c>
    </row>
    <row r="397" spans="1:14" ht="15.75" customHeight="1" x14ac:dyDescent="0.2">
      <c r="A397" s="5" t="s">
        <v>35</v>
      </c>
      <c r="B397" s="5">
        <v>0</v>
      </c>
      <c r="C397" s="5">
        <v>0</v>
      </c>
      <c r="D397" s="5" t="s">
        <v>105</v>
      </c>
      <c r="E397" s="5" t="s">
        <v>104</v>
      </c>
      <c r="F397" s="5" t="s">
        <v>92</v>
      </c>
      <c r="G397" s="5" t="s">
        <v>91</v>
      </c>
      <c r="H397" s="5" t="s">
        <v>60</v>
      </c>
      <c r="I397" s="5" t="s">
        <v>44</v>
      </c>
      <c r="J397" s="5" t="s">
        <v>29</v>
      </c>
      <c r="K397" s="5" t="s">
        <v>48</v>
      </c>
      <c r="L397" s="5" t="s">
        <v>31</v>
      </c>
      <c r="M397" s="5" t="s">
        <v>32</v>
      </c>
      <c r="N397" s="5" t="s">
        <v>16</v>
      </c>
    </row>
    <row r="398" spans="1:14" ht="15.75" customHeight="1" x14ac:dyDescent="0.2">
      <c r="A398" s="5" t="s">
        <v>45</v>
      </c>
      <c r="B398" s="5">
        <v>0</v>
      </c>
      <c r="C398" s="5">
        <v>0</v>
      </c>
      <c r="D398" s="5" t="s">
        <v>105</v>
      </c>
      <c r="E398" s="5" t="s">
        <v>104</v>
      </c>
      <c r="F398" s="5" t="s">
        <v>92</v>
      </c>
      <c r="G398" s="5" t="s">
        <v>90</v>
      </c>
      <c r="H398" s="5" t="s">
        <v>60</v>
      </c>
      <c r="I398" s="5" t="s">
        <v>45</v>
      </c>
      <c r="J398" s="5" t="s">
        <v>29</v>
      </c>
      <c r="K398" s="5" t="s">
        <v>48</v>
      </c>
      <c r="L398" s="5" t="s">
        <v>31</v>
      </c>
      <c r="M398" s="5" t="s">
        <v>32</v>
      </c>
      <c r="N398" s="5" t="s">
        <v>16</v>
      </c>
    </row>
    <row r="399" spans="1:14" ht="15.75" customHeight="1" x14ac:dyDescent="0.2">
      <c r="A399" s="5" t="s">
        <v>35</v>
      </c>
      <c r="B399" s="5">
        <v>0</v>
      </c>
      <c r="C399" s="5">
        <v>0</v>
      </c>
      <c r="D399" s="5" t="s">
        <v>105</v>
      </c>
      <c r="E399" s="5" t="s">
        <v>104</v>
      </c>
      <c r="F399" s="5" t="s">
        <v>92</v>
      </c>
      <c r="G399" s="5" t="s">
        <v>91</v>
      </c>
      <c r="H399" s="5" t="s">
        <v>60</v>
      </c>
      <c r="I399" s="5" t="s">
        <v>45</v>
      </c>
      <c r="J399" s="5" t="s">
        <v>29</v>
      </c>
      <c r="K399" s="5" t="s">
        <v>48</v>
      </c>
      <c r="L399" s="5" t="s">
        <v>31</v>
      </c>
      <c r="M399" s="5" t="s">
        <v>32</v>
      </c>
      <c r="N399" s="5" t="s">
        <v>16</v>
      </c>
    </row>
    <row r="400" spans="1:14" ht="15.75" customHeight="1" x14ac:dyDescent="0.2">
      <c r="A400" s="5" t="s">
        <v>46</v>
      </c>
      <c r="B400" s="5">
        <v>0</v>
      </c>
      <c r="C400" s="5">
        <v>0</v>
      </c>
      <c r="D400" s="5" t="s">
        <v>105</v>
      </c>
      <c r="E400" s="5" t="s">
        <v>104</v>
      </c>
      <c r="F400" s="5" t="s">
        <v>92</v>
      </c>
      <c r="G400" s="5" t="s">
        <v>90</v>
      </c>
      <c r="H400" s="5" t="s">
        <v>60</v>
      </c>
      <c r="I400" s="5" t="s">
        <v>46</v>
      </c>
      <c r="J400" s="5" t="s">
        <v>29</v>
      </c>
      <c r="K400" s="5" t="s">
        <v>48</v>
      </c>
      <c r="L400" s="5" t="s">
        <v>31</v>
      </c>
      <c r="M400" s="5" t="s">
        <v>32</v>
      </c>
      <c r="N400" s="5" t="s">
        <v>16</v>
      </c>
    </row>
    <row r="401" spans="1:14" ht="15.75" customHeight="1" x14ac:dyDescent="0.2">
      <c r="A401" s="5" t="s">
        <v>35</v>
      </c>
      <c r="B401" s="5">
        <v>0</v>
      </c>
      <c r="C401" s="5">
        <v>0</v>
      </c>
      <c r="D401" s="5" t="s">
        <v>105</v>
      </c>
      <c r="E401" s="5" t="s">
        <v>104</v>
      </c>
      <c r="F401" s="5" t="s">
        <v>92</v>
      </c>
      <c r="G401" s="5" t="s">
        <v>91</v>
      </c>
      <c r="H401" s="5" t="s">
        <v>60</v>
      </c>
      <c r="I401" s="5" t="s">
        <v>46</v>
      </c>
      <c r="J401" s="5" t="s">
        <v>29</v>
      </c>
      <c r="K401" s="5" t="s">
        <v>48</v>
      </c>
      <c r="L401" s="5" t="s">
        <v>31</v>
      </c>
      <c r="M401" s="5" t="s">
        <v>32</v>
      </c>
      <c r="N401" s="5" t="s">
        <v>16</v>
      </c>
    </row>
    <row r="402" spans="1:14" ht="15.75" customHeight="1" x14ac:dyDescent="0.2"/>
    <row r="403" spans="1:14" ht="15.75" customHeight="1" x14ac:dyDescent="0.2"/>
    <row r="404" spans="1:14" ht="15.75" customHeight="1" x14ac:dyDescent="0.2"/>
    <row r="405" spans="1:14" ht="15.75" customHeight="1" x14ac:dyDescent="0.2"/>
    <row r="406" spans="1:14" ht="15.75" customHeight="1" x14ac:dyDescent="0.2"/>
    <row r="407" spans="1:14" ht="15.75" customHeight="1" x14ac:dyDescent="0.2"/>
    <row r="408" spans="1:14" ht="15.75" customHeight="1" x14ac:dyDescent="0.2"/>
    <row r="409" spans="1:14" ht="15.75" customHeight="1" x14ac:dyDescent="0.2"/>
    <row r="410" spans="1:14" ht="15.75" customHeight="1" x14ac:dyDescent="0.2"/>
    <row r="411" spans="1:14" ht="15.75" customHeight="1" x14ac:dyDescent="0.2"/>
    <row r="412" spans="1:14" ht="15.75" customHeight="1" x14ac:dyDescent="0.2"/>
    <row r="413" spans="1:14" ht="15.75" customHeight="1" x14ac:dyDescent="0.2"/>
    <row r="414" spans="1:14" ht="15.75" customHeight="1" x14ac:dyDescent="0.2"/>
    <row r="415" spans="1:14" ht="15.75" customHeight="1" x14ac:dyDescent="0.2"/>
    <row r="416" spans="1:14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Pivot Table 1</vt:lpstr>
      <vt:lpstr>1_Perf</vt:lpstr>
      <vt:lpstr>1_Conv</vt:lpstr>
      <vt:lpstr>2_Perf</vt:lpstr>
      <vt:lpstr>2_Conv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Funto Adeyemi</cp:lastModifiedBy>
  <dcterms:created xsi:type="dcterms:W3CDTF">2025-02-24T14:26:58Z</dcterms:created>
  <dcterms:modified xsi:type="dcterms:W3CDTF">2025-05-14T13:55:57Z</dcterms:modified>
</cp:coreProperties>
</file>