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 Plan - V3 " sheetId="1" r:id="rId4"/>
    <sheet state="visible" name="Media Plan " sheetId="2" r:id="rId5"/>
  </sheets>
  <definedNames/>
  <calcPr/>
</workbook>
</file>

<file path=xl/sharedStrings.xml><?xml version="1.0" encoding="utf-8"?>
<sst xmlns="http://schemas.openxmlformats.org/spreadsheetml/2006/main" count="102" uniqueCount="41">
  <si>
    <t xml:space="preserve"> </t>
  </si>
  <si>
    <t>Campaign activation investment (Campaign gross cost):</t>
  </si>
  <si>
    <t>Audience360 - NCF Media Plan
Shiseido - Issey Miyake Le Sel</t>
  </si>
  <si>
    <t>Net media spend:</t>
  </si>
  <si>
    <t>Total fees:</t>
  </si>
  <si>
    <t>PO number:</t>
  </si>
  <si>
    <t>4530105329</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</si>
  <si>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</si>
  <si>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</si>
  <si>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</si>
  <si>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</si>
  <si>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</si>
  <si>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</si>
  <si>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</si>
  <si>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</si>
  <si>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</si>
  <si>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</si>
  <si>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</si>
  <si>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</si>
  <si>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</si>
  <si>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</si>
  <si>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</si>
  <si>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</si>
  <si>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</si>
  <si>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</si>
  <si>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Pinterest</t>
  </si>
  <si>
    <t>Awareness</t>
  </si>
  <si>
    <t>Static / Carousel / Video 
(in-feed and Story, both 1x1 (or 4x5) and 9x16 to be supplied</t>
  </si>
  <si>
    <r>
      <rPr>
        <rFont val="Montserrat"/>
        <color rgb="FF000000"/>
        <sz val="11.0"/>
      </rPr>
      <t xml:space="preserve">Current Female Fragrance Shoppers
Current Issey Miyake Shoppers
Current Male Fragrance Shoppers
Lapsed Issey Miyake Shoppers
</t>
    </r>
    <r>
      <rPr>
        <rFont val="Montserrat"/>
        <b/>
        <color rgb="FF000000"/>
        <sz val="11.0"/>
      </rPr>
      <t xml:space="preserve">Newly added: 
**Splitted into male and female**
 competitor shoppers, fine fragrance propensity model, premium cosmetics propensity model and premium gift shoppers </t>
    </r>
  </si>
  <si>
    <t>3 per week</t>
  </si>
  <si>
    <t>4/11/2024 - 16/12/2024
(6 weeks) 
New: 
4/11/2024 - 23/12/2024</t>
  </si>
  <si>
    <t>Sales</t>
  </si>
  <si>
    <t>Meta (Facebook &amp; Instagram)</t>
  </si>
  <si>
    <t>Static / Carousel / Video 
(in-feed and Story, both 1x1 (or 4x5) and 9x16 to be supplied</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</si>
  <si>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</si>
  <si>
    <t xml:space="preserve">Current Issey Miyake Shoppers </t>
  </si>
  <si>
    <t xml:space="preserve">4/11/2024 - 16/12/2024
(6 weeks) </t>
  </si>
  <si>
    <t xml:space="preserve">Lapsed Issey Miyake Shoppers </t>
  </si>
  <si>
    <t xml:space="preserve">Current Female Fragrance Shoppers </t>
  </si>
  <si>
    <t xml:space="preserve">4/11/2024 - 16/12/2024
(6 weeks) </t>
  </si>
  <si>
    <t xml:space="preserve">Current Male Fragrance Shoppers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</si>
</sst>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Red]\-&quot;£&quot;#,##0"/>
    <numFmt numFmtId="165" formatCode="[$£]#,##0.00"/>
    <numFmt numFmtId="166" formatCode="m/d/yyyy"/>
    <numFmt numFmtId="167" formatCode="&quot;£&quot;#,##0"/>
  </numFmts>
  <fonts count="15">
    <font>
      <sz val="10.0"/>
      <color rgb="FF000000"/>
      <name val="Arial"/>
      <scheme val="minor"/>
    </font>
    <font>
      <sz val="11.0"/>
      <color theme="1"/>
      <name val="Montserrat"/>
    </font>
    <font>
      <b/>
      <sz val="11.0"/>
      <color theme="1"/>
      <name val="Montserrat"/>
    </font>
    <font>
      <b/>
      <sz val="17.0"/>
      <color theme="1"/>
      <name val="Montserrat"/>
    </font>
    <font/>
    <font>
      <b/>
      <sz val="11.0"/>
      <color rgb="FFFFFFFF"/>
      <name val="Montserrat"/>
    </font>
    <font>
      <b/>
      <sz val="11.0"/>
      <color rgb="FF222222"/>
      <name val="Montserrat"/>
    </font>
    <font>
      <b/>
      <sz val="11.0"/>
      <color rgb="FF000000"/>
      <name val="Montserrat"/>
    </font>
    <font>
      <sz val="11.0"/>
      <color rgb="FF222222"/>
      <name val="Montserrat"/>
    </font>
    <font>
      <sz val="11.0"/>
      <color rgb="FF000000"/>
      <name val="Montserrat"/>
    </font>
    <font>
      <color theme="1"/>
      <name val="Arial"/>
    </font>
    <font>
      <sz val="11.0"/>
      <color rgb="FFFFFFFF"/>
      <name val="Montserrat"/>
    </font>
    <font>
      <sz val="11.0"/>
      <color theme="0"/>
      <name val="Montserrat"/>
    </font>
    <font>
      <b/>
      <i/>
      <sz val="11.0"/>
      <color theme="1"/>
      <name val="Montserrat"/>
    </font>
    <font>
      <color theme="1"/>
      <name val="Montserrat"/>
    </font>
  </fonts>
  <fills count="5">
    <fill>
      <patternFill patternType="none"/>
    </fill>
    <fill>
      <patternFill patternType="lightGray"/>
    </fill>
    <fill>
      <patternFill patternType="solid">
        <fgColor theme="0"/>
        <bgColor theme="0"/>
      </patternFill>
    </fill>
    <fill>
      <patternFill patternType="solid">
        <fgColor rgb="FF002060"/>
        <bgColor rgb="FF002060"/>
      </patternFill>
    </fill>
    <fill>
      <patternFill patternType="solid">
        <fgColor rgb="FFFFFFFF"/>
        <bgColor rgb="FFFFFFFF"/>
      </patternFill>
    </fill>
  </fills>
  <borders count="20">
    <border/>
    <border>
      <left/>
      <right/>
      <top/>
    </border>
    <border>
      <left/>
      <right/>
      <top/>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right style="thin">
        <color rgb="FFFFFFFF"/>
      </right>
      <top style="thin">
        <color rgb="FFFFFFFF"/>
      </top>
      <bottom style="thin">
        <color rgb="FFFFFFFF"/>
      </bottom>
    </border>
    <border>
      <right style="thin">
        <color rgb="FFFFFFFF"/>
      </right>
      <top style="thin">
        <color rgb="FFFFFFFF"/>
      </top>
    </border>
    <border>
      <bottom style="thin">
        <color rgb="FF000000"/>
      </bottom>
    </border>
    <border>
      <left/>
      <right/>
      <bottom/>
    </border>
    <border>
      <left style="thin">
        <color rgb="FF000000"/>
      </left>
      <right style="thin">
        <color rgb="FF000000"/>
      </right>
      <top style="thin">
        <color rgb="FF000000"/>
      </top>
    </border>
    <border>
      <right/>
      <top/>
      <bottom/>
    </border>
    <border>
      <left style="thin">
        <color rgb="FF000000"/>
      </left>
      <right style="thin">
        <color rgb="FF000000"/>
      </right>
    </border>
    <border>
      <right/>
    </border>
    <border>
      <left/>
      <top/>
      <bottom/>
    </border>
    <border>
      <bottom/>
    </border>
    <border>
      <right/>
      <bottom/>
    </border>
    <border>
      <left style="thin">
        <color rgb="FFFFFFFF"/>
      </left>
      <right style="thin">
        <color rgb="FFFFFFFF"/>
      </right>
      <bottom style="thin">
        <color rgb="FFFFFFFF"/>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2" fontId="1" numFmtId="0" xfId="0" applyAlignment="1" applyBorder="1" applyFont="1">
      <alignment shrinkToFit="0" vertical="center" wrapText="1"/>
    </xf>
    <xf borderId="1" fillId="2" fontId="1" numFmtId="0" xfId="0" applyAlignment="1" applyBorder="1" applyFont="1">
      <alignment shrinkToFit="0" vertical="center" wrapText="1"/>
    </xf>
    <xf borderId="3" fillId="0" fontId="2" numFmtId="0" xfId="0" applyAlignment="1" applyBorder="1" applyFont="1">
      <alignment shrinkToFit="0" vertical="center" wrapText="1"/>
    </xf>
    <xf borderId="3" fillId="0" fontId="2" numFmtId="164" xfId="0" applyAlignment="1" applyBorder="1" applyFont="1" applyNumberFormat="1">
      <alignment horizontal="right" readingOrder="0" shrinkToFit="0" vertical="center" wrapText="1"/>
    </xf>
    <xf borderId="4" fillId="0" fontId="3"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6" fillId="0" fontId="2" numFmtId="0" xfId="0" applyAlignment="1" applyBorder="1" applyFont="1">
      <alignment shrinkToFit="0" vertical="center" wrapText="1"/>
    </xf>
    <xf borderId="7" fillId="0" fontId="2" numFmtId="164" xfId="0" applyAlignment="1" applyBorder="1" applyFont="1" applyNumberFormat="1">
      <alignment horizontal="right" shrinkToFit="0" vertical="center" wrapText="1"/>
    </xf>
    <xf borderId="8" fillId="0" fontId="3" numFmtId="0" xfId="0" applyAlignment="1" applyBorder="1" applyFont="1">
      <alignment horizontal="center" readingOrder="0" shrinkToFit="0" vertical="center" wrapText="1"/>
    </xf>
    <xf borderId="6" fillId="0" fontId="2" numFmtId="0" xfId="0" applyAlignment="1" applyBorder="1" applyFont="1">
      <alignment shrinkToFit="0" vertical="center" wrapText="1"/>
    </xf>
    <xf borderId="9" fillId="0" fontId="3" numFmtId="0" xfId="0" applyAlignment="1" applyBorder="1" applyFont="1">
      <alignment horizontal="center" readingOrder="0" shrinkToFit="0" vertical="center" wrapText="1"/>
    </xf>
    <xf borderId="10" fillId="0" fontId="4" numFmtId="0" xfId="0" applyBorder="1" applyFont="1"/>
    <xf borderId="7" fillId="0" fontId="2" numFmtId="49" xfId="0" applyAlignment="1" applyBorder="1" applyFont="1" applyNumberFormat="1">
      <alignment horizontal="right" readingOrder="0" shrinkToFit="0" vertical="center" wrapText="1"/>
    </xf>
    <xf borderId="11" fillId="2" fontId="1" numFmtId="0" xfId="0" applyAlignment="1" applyBorder="1" applyFont="1">
      <alignment shrinkToFit="0" vertical="center" wrapText="1"/>
    </xf>
    <xf borderId="3" fillId="3" fontId="5" numFmtId="0" xfId="0" applyAlignment="1" applyBorder="1" applyFill="1" applyFont="1">
      <alignment horizontal="center" readingOrder="0" shrinkToFit="0" vertical="center" wrapText="1"/>
    </xf>
    <xf borderId="3" fillId="3" fontId="5"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12" fillId="0" fontId="6" numFmtId="0" xfId="0" applyAlignment="1" applyBorder="1" applyFont="1">
      <alignment horizontal="center" readingOrder="0" shrinkToFit="0" vertical="center" wrapText="1"/>
    </xf>
    <xf borderId="12" fillId="4" fontId="6" numFmtId="0" xfId="0" applyAlignment="1" applyBorder="1" applyFill="1" applyFont="1">
      <alignment horizontal="center" shrinkToFit="0" vertical="center" wrapText="1"/>
    </xf>
    <xf borderId="12" fillId="0" fontId="7" numFmtId="0" xfId="0" applyAlignment="1" applyBorder="1" applyFont="1">
      <alignment horizontal="center" readingOrder="0" shrinkToFit="0" vertical="center" wrapText="1"/>
    </xf>
    <xf borderId="12" fillId="4" fontId="8" numFmtId="0" xfId="0" applyAlignment="1" applyBorder="1" applyFont="1">
      <alignment horizontal="center" shrinkToFit="0" vertical="center" wrapText="1"/>
    </xf>
    <xf borderId="12" fillId="0" fontId="9" numFmtId="0" xfId="0" applyAlignment="1" applyBorder="1" applyFont="1">
      <alignment horizontal="center" readingOrder="0" shrinkToFit="0" vertical="center" wrapText="1"/>
    </xf>
    <xf borderId="12" fillId="0" fontId="1" numFmtId="10" xfId="0" applyAlignment="1" applyBorder="1" applyFont="1" applyNumberFormat="1">
      <alignment horizontal="center" readingOrder="0" shrinkToFit="0" vertical="center" wrapText="1"/>
    </xf>
    <xf borderId="12" fillId="0" fontId="1" numFmtId="3" xfId="0" applyAlignment="1" applyBorder="1" applyFont="1" applyNumberFormat="1">
      <alignment horizontal="center" readingOrder="0" shrinkToFit="0" vertical="center" wrapText="1"/>
    </xf>
    <xf borderId="12" fillId="0" fontId="1" numFmtId="0" xfId="0" applyAlignment="1" applyBorder="1" applyFont="1">
      <alignment horizontal="center" readingOrder="0" shrinkToFit="0" vertical="center" wrapText="1"/>
    </xf>
    <xf borderId="12" fillId="0" fontId="1" numFmtId="165" xfId="0" applyAlignment="1" applyBorder="1" applyFont="1" applyNumberFormat="1">
      <alignment horizontal="center" readingOrder="0" shrinkToFit="0" vertical="center" wrapText="1"/>
    </xf>
    <xf borderId="12" fillId="0" fontId="1" numFmtId="165" xfId="0" applyAlignment="1" applyBorder="1" applyFont="1" applyNumberFormat="1">
      <alignment horizontal="center" shrinkToFit="0" vertical="center" wrapText="1"/>
    </xf>
    <xf borderId="12" fillId="0" fontId="1" numFmtId="165" xfId="0" applyAlignment="1" applyBorder="1" applyFont="1" applyNumberFormat="1">
      <alignment horizontal="center" readingOrder="0" shrinkToFit="0" vertical="center" wrapText="1"/>
    </xf>
    <xf borderId="13" fillId="2" fontId="1" numFmtId="0" xfId="0" applyAlignment="1" applyBorder="1" applyFont="1">
      <alignment shrinkToFit="0" vertical="center" wrapText="1"/>
    </xf>
    <xf borderId="14" fillId="0" fontId="4" numFmtId="0" xfId="0" applyBorder="1" applyFont="1"/>
    <xf borderId="2" fillId="2" fontId="1" numFmtId="166" xfId="0" applyAlignment="1" applyBorder="1" applyFont="1" applyNumberFormat="1">
      <alignment readingOrder="0" shrinkToFit="0" vertical="center" wrapText="1"/>
    </xf>
    <xf borderId="6" fillId="0" fontId="4" numFmtId="0" xfId="0" applyBorder="1" applyFont="1"/>
    <xf borderId="2" fillId="2" fontId="1" numFmtId="165" xfId="0" applyAlignment="1" applyBorder="1" applyFont="1" applyNumberFormat="1">
      <alignment shrinkToFit="0" vertical="center" wrapText="1"/>
    </xf>
    <xf borderId="12" fillId="4" fontId="8" numFmtId="0" xfId="0" applyAlignment="1" applyBorder="1" applyFont="1">
      <alignment horizontal="center" readingOrder="0" shrinkToFit="0" vertical="center" wrapText="1"/>
    </xf>
    <xf borderId="0" fillId="3" fontId="8" numFmtId="0" xfId="0" applyAlignment="1" applyFont="1">
      <alignment horizontal="center" shrinkToFit="0" vertical="center" wrapText="1"/>
    </xf>
    <xf borderId="11" fillId="3" fontId="8" numFmtId="0" xfId="0" applyAlignment="1" applyBorder="1" applyFont="1">
      <alignment horizontal="center" shrinkToFit="0" vertical="center" wrapText="1"/>
    </xf>
    <xf borderId="11" fillId="3" fontId="1" numFmtId="0" xfId="0" applyAlignment="1" applyBorder="1" applyFont="1">
      <alignment horizontal="center" shrinkToFit="0" vertical="center" wrapText="1"/>
    </xf>
    <xf borderId="0" fillId="3" fontId="10" numFmtId="0" xfId="0" applyAlignment="1" applyFont="1">
      <alignment horizontal="center" vertical="center"/>
    </xf>
    <xf borderId="11" fillId="3" fontId="11" numFmtId="10" xfId="0" applyAlignment="1" applyBorder="1" applyFont="1" applyNumberFormat="1">
      <alignment horizontal="center" readingOrder="0" shrinkToFit="0" vertical="center" wrapText="1"/>
    </xf>
    <xf borderId="11" fillId="3" fontId="12" numFmtId="3" xfId="0" applyAlignment="1" applyBorder="1" applyFont="1" applyNumberFormat="1">
      <alignment horizontal="center" shrinkToFit="0" vertical="center" wrapText="1"/>
    </xf>
    <xf borderId="11" fillId="3" fontId="1" numFmtId="3" xfId="0" applyAlignment="1" applyBorder="1" applyFont="1" applyNumberFormat="1">
      <alignment horizontal="center" shrinkToFit="0" vertical="center" wrapText="1"/>
    </xf>
    <xf borderId="11" fillId="3" fontId="11" numFmtId="165" xfId="0" applyAlignment="1" applyBorder="1" applyFont="1" applyNumberFormat="1">
      <alignment horizontal="center" shrinkToFit="0" vertical="center" wrapText="1"/>
    </xf>
    <xf borderId="11" fillId="3" fontId="12" numFmtId="167" xfId="0" applyAlignment="1" applyBorder="1" applyFont="1" applyNumberFormat="1">
      <alignment horizontal="center" shrinkToFit="0" vertical="center" wrapText="1"/>
    </xf>
    <xf borderId="11" fillId="3" fontId="1" numFmtId="167" xfId="0" applyAlignment="1" applyBorder="1" applyFont="1" applyNumberFormat="1">
      <alignment horizontal="center" shrinkToFit="0" vertical="center" wrapText="1"/>
    </xf>
    <xf borderId="2" fillId="2" fontId="8"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3" xfId="0" applyAlignment="1" applyBorder="1" applyFont="1" applyNumberFormat="1">
      <alignment horizontal="center" shrinkToFit="0" vertical="center" wrapText="1"/>
    </xf>
    <xf borderId="2" fillId="2" fontId="12" numFmtId="0" xfId="0" applyAlignment="1" applyBorder="1" applyFont="1">
      <alignment horizontal="center" shrinkToFit="0" vertical="center" wrapText="1"/>
    </xf>
    <xf borderId="0" fillId="4" fontId="13" numFmtId="0" xfId="0" applyAlignment="1" applyFont="1">
      <alignment shrinkToFit="0" wrapText="1"/>
    </xf>
    <xf borderId="15" fillId="0" fontId="4" numFmtId="0" xfId="0" applyBorder="1" applyFont="1"/>
    <xf borderId="16" fillId="2" fontId="1" numFmtId="0" xfId="0" applyAlignment="1" applyBorder="1" applyFont="1">
      <alignment shrinkToFit="0" vertical="center" wrapText="1"/>
    </xf>
    <xf borderId="2" fillId="2" fontId="1" numFmtId="0" xfId="0" applyAlignment="1" applyBorder="1" applyFont="1">
      <alignment readingOrder="0" shrinkToFit="0" vertical="center" wrapText="1"/>
    </xf>
    <xf borderId="17" fillId="0" fontId="4" numFmtId="0" xfId="0" applyBorder="1" applyFont="1"/>
    <xf borderId="18" fillId="0" fontId="4" numFmtId="0" xfId="0" applyBorder="1" applyFont="1"/>
    <xf borderId="19" fillId="2" fontId="1" numFmtId="0" xfId="0" applyAlignment="1" applyBorder="1" applyFont="1">
      <alignment shrinkToFit="0" vertical="center" wrapText="1"/>
    </xf>
    <xf borderId="4" fillId="2" fontId="1" numFmtId="0" xfId="0" applyAlignment="1" applyBorder="1" applyFont="1">
      <alignment shrinkToFit="0" vertical="center" wrapText="1"/>
    </xf>
    <xf borderId="2" fillId="2" fontId="1" numFmtId="10" xfId="0" applyAlignment="1" applyBorder="1" applyFont="1" applyNumberFormat="1">
      <alignment readingOrder="0" shrinkToFit="0" vertical="center" wrapText="1"/>
    </xf>
    <xf borderId="2" fillId="2" fontId="1" numFmtId="164" xfId="0" applyAlignment="1" applyBorder="1" applyFont="1" applyNumberFormat="1">
      <alignment shrinkToFit="0" vertical="center" wrapText="1"/>
    </xf>
    <xf borderId="0" fillId="2" fontId="1" numFmtId="0" xfId="0" applyAlignment="1" applyFont="1">
      <alignment shrinkToFit="0" vertical="center" wrapText="1"/>
    </xf>
    <xf borderId="0" fillId="0" fontId="14" numFmtId="0" xfId="0" applyAlignment="1" applyFont="1">
      <alignment shrinkToFit="0" vertical="center" wrapText="1"/>
    </xf>
    <xf borderId="3" fillId="0" fontId="9"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3" width="16.88"/>
    <col customWidth="1" min="4" max="6" width="22.88"/>
    <col customWidth="1" min="7" max="11" width="16.88"/>
    <col customWidth="1" min="12" max="13" width="13.5"/>
    <col customWidth="1" min="14" max="15" width="16.88"/>
    <col customWidth="1" min="16" max="16" width="26.88"/>
    <col customWidth="1" min="17" max="17" width="7.63"/>
    <col customWidth="1" min="18" max="18" width="11.13"/>
    <col customWidth="1" min="19" max="27" width="7.63"/>
  </cols>
  <sheetData>
    <row r="1" ht="14.25" customHeight="1">
      <c r="A1" s="1" t="s">
        <v>0</v>
      </c>
      <c r="B1" s="2"/>
      <c r="C1" s="3"/>
      <c r="D1" s="3"/>
      <c r="E1" s="2"/>
      <c r="F1" s="2"/>
      <c r="G1" s="2"/>
      <c r="H1" s="2"/>
      <c r="I1" s="2"/>
      <c r="J1" s="2"/>
      <c r="K1" s="2"/>
      <c r="L1" s="2"/>
      <c r="M1" s="2"/>
      <c r="N1" s="2"/>
      <c r="O1" s="2"/>
      <c r="P1" s="2"/>
      <c r="Q1" s="2"/>
      <c r="R1" s="2"/>
      <c r="S1" s="2"/>
      <c r="T1" s="2"/>
      <c r="U1" s="2"/>
      <c r="V1" s="2"/>
      <c r="W1" s="2"/>
      <c r="X1" s="2"/>
      <c r="Y1" s="2"/>
      <c r="Z1" s="2"/>
      <c r="AA1" s="2"/>
    </row>
    <row r="2" ht="28.5" customHeight="1">
      <c r="A2" s="4" t="s">
        <v>1</v>
      </c>
      <c r="B2" s="5">
        <v>50000.0</v>
      </c>
      <c r="C2" s="6"/>
      <c r="D2" s="6"/>
      <c r="E2" s="7"/>
      <c r="F2" s="8" t="s">
        <v>2</v>
      </c>
      <c r="L2" s="2"/>
      <c r="M2" s="2"/>
      <c r="N2" s="2"/>
      <c r="O2" s="2"/>
      <c r="P2" s="2"/>
      <c r="Q2" s="2"/>
      <c r="R2" s="2"/>
      <c r="S2" s="2"/>
      <c r="T2" s="2"/>
      <c r="U2" s="2"/>
      <c r="V2" s="2"/>
      <c r="W2" s="2"/>
      <c r="X2" s="2"/>
      <c r="Y2" s="2"/>
      <c r="Z2" s="2"/>
      <c r="AA2" s="2"/>
    </row>
    <row r="3" ht="28.5" customHeight="1">
      <c r="A3" s="9" t="s">
        <v>3</v>
      </c>
      <c r="B3" s="10">
        <f>0.7*B2</f>
        <v>35000</v>
      </c>
      <c r="C3" s="6"/>
      <c r="D3" s="6"/>
      <c r="E3" s="11"/>
      <c r="L3" s="2"/>
      <c r="M3" s="2"/>
      <c r="N3" s="2"/>
      <c r="O3" s="2"/>
      <c r="P3" s="2"/>
      <c r="Q3" s="2"/>
      <c r="R3" s="2"/>
      <c r="S3" s="2"/>
      <c r="T3" s="2"/>
      <c r="U3" s="2"/>
      <c r="V3" s="2"/>
      <c r="W3" s="2"/>
      <c r="X3" s="2"/>
      <c r="Y3" s="2"/>
      <c r="Z3" s="2"/>
      <c r="AA3" s="2"/>
    </row>
    <row r="4" ht="28.5" customHeight="1">
      <c r="A4" s="12" t="s">
        <v>4</v>
      </c>
      <c r="B4" s="10">
        <f>B2-B3</f>
        <v>15000</v>
      </c>
      <c r="C4" s="6"/>
      <c r="D4" s="6"/>
      <c r="E4" s="13"/>
      <c r="F4" s="14"/>
      <c r="G4" s="14"/>
      <c r="H4" s="14"/>
      <c r="I4" s="14"/>
      <c r="J4" s="14"/>
      <c r="K4" s="14"/>
      <c r="L4" s="2"/>
      <c r="M4" s="2"/>
      <c r="N4" s="2"/>
      <c r="O4" s="2"/>
      <c r="P4" s="2"/>
      <c r="Q4" s="2"/>
      <c r="R4" s="2"/>
      <c r="S4" s="2"/>
      <c r="T4" s="2"/>
      <c r="U4" s="2"/>
      <c r="V4" s="2"/>
      <c r="W4" s="2"/>
      <c r="X4" s="2"/>
      <c r="Y4" s="2"/>
      <c r="Z4" s="2"/>
      <c r="AA4" s="2"/>
    </row>
    <row r="5" ht="28.5" customHeight="1">
      <c r="A5" s="9" t="s">
        <v>5</v>
      </c>
      <c r="B5" s="15" t="s">
        <v>6</v>
      </c>
      <c r="C5" s="16"/>
      <c r="D5" s="16"/>
      <c r="E5" s="2"/>
      <c r="F5" s="2"/>
      <c r="G5" s="2"/>
      <c r="H5" s="2"/>
      <c r="I5" s="2"/>
      <c r="J5" s="2"/>
      <c r="K5" s="2"/>
      <c r="L5" s="2"/>
      <c r="M5" s="2"/>
      <c r="N5" s="2"/>
      <c r="O5" s="2"/>
      <c r="P5" s="2"/>
      <c r="Q5" s="2"/>
      <c r="R5" s="2"/>
      <c r="S5" s="2"/>
      <c r="T5" s="2"/>
      <c r="U5" s="2"/>
      <c r="V5" s="2"/>
      <c r="W5" s="2"/>
      <c r="X5" s="2"/>
      <c r="Y5" s="2"/>
      <c r="Z5" s="2"/>
      <c r="AA5" s="2"/>
    </row>
    <row r="6" ht="14.25" customHeight="1">
      <c r="A6" s="2"/>
      <c r="B6" s="2"/>
      <c r="C6" s="2"/>
      <c r="D6" s="2"/>
      <c r="E6" s="2"/>
      <c r="F6" s="2"/>
      <c r="G6" s="2"/>
      <c r="H6" s="2"/>
      <c r="I6" s="2"/>
      <c r="J6" s="2"/>
      <c r="K6" s="2"/>
      <c r="L6" s="2"/>
      <c r="M6" s="2"/>
      <c r="N6" s="2"/>
      <c r="O6" s="2"/>
      <c r="P6" s="2"/>
      <c r="Q6" s="2"/>
      <c r="R6" s="2"/>
      <c r="S6" s="2"/>
      <c r="T6" s="2"/>
      <c r="U6" s="2"/>
      <c r="V6" s="2"/>
      <c r="W6" s="2"/>
      <c r="X6" s="2"/>
      <c r="Y6" s="2"/>
      <c r="Z6" s="2"/>
      <c r="AA6" s="2"/>
    </row>
    <row r="7" ht="14.25" customHeight="1">
      <c r="A7" s="2"/>
      <c r="B7" s="2"/>
      <c r="C7" s="2"/>
      <c r="D7" s="2"/>
      <c r="E7" s="2"/>
      <c r="F7" s="2"/>
      <c r="G7" s="2"/>
      <c r="H7" s="2"/>
      <c r="I7" s="2"/>
      <c r="J7" s="2"/>
      <c r="K7" s="2"/>
      <c r="L7" s="2"/>
      <c r="M7" s="2"/>
      <c r="N7" s="2"/>
      <c r="O7" s="2"/>
      <c r="P7" s="2"/>
      <c r="Q7" s="2"/>
      <c r="R7" s="2"/>
      <c r="S7" s="2"/>
      <c r="T7" s="2"/>
      <c r="U7" s="2"/>
      <c r="V7" s="2"/>
      <c r="W7" s="2"/>
      <c r="X7" s="2"/>
      <c r="Y7" s="2"/>
      <c r="Z7" s="2"/>
      <c r="AA7" s="2"/>
    </row>
    <row r="8" ht="54.0" customHeight="1">
      <c r="A8" s="17" t="s">
        <v>7</v>
      </c>
      <c r="B8" s="18" t="s">
        <v>8</v>
      </c>
      <c r="C8" s="18" t="s">
        <v>9</v>
      </c>
      <c r="D8" s="17" t="s">
        <v>10</v>
      </c>
      <c r="E8" s="19" t="s">
        <v>11</v>
      </c>
      <c r="F8" s="18" t="s">
        <v>12</v>
      </c>
      <c r="G8" s="17" t="s">
        <v>13</v>
      </c>
      <c r="H8" s="17" t="s">
        <v>14</v>
      </c>
      <c r="I8" s="18" t="s">
        <v>15</v>
      </c>
      <c r="J8" s="17" t="s">
        <v>16</v>
      </c>
      <c r="K8" s="18" t="s">
        <v>17</v>
      </c>
      <c r="L8" s="18" t="s">
        <v>18</v>
      </c>
      <c r="M8" s="18" t="s">
        <v>19</v>
      </c>
      <c r="N8" s="17" t="s">
        <v>20</v>
      </c>
      <c r="O8" s="17" t="s">
        <v>21</v>
      </c>
      <c r="P8" s="18" t="s">
        <v>22</v>
      </c>
      <c r="Q8" s="2"/>
      <c r="R8" s="2"/>
      <c r="S8" s="2"/>
      <c r="T8" s="2"/>
      <c r="U8" s="2"/>
      <c r="V8" s="2"/>
      <c r="W8" s="2"/>
      <c r="X8" s="2"/>
      <c r="Y8" s="2"/>
      <c r="Z8" s="2"/>
      <c r="AA8" s="2"/>
    </row>
    <row r="9" ht="60.0" customHeight="1">
      <c r="A9" s="20" t="s">
        <v>23</v>
      </c>
      <c r="B9" s="21" t="s">
        <v>24</v>
      </c>
      <c r="C9" s="20" t="s">
        <v>25</v>
      </c>
      <c r="D9" s="22" t="s">
        <v>26</v>
      </c>
      <c r="E9" s="23" t="s">
        <v>27</v>
      </c>
      <c r="F9" s="24" t="s">
        <v>28</v>
      </c>
      <c r="G9" s="25">
        <v>0.001</v>
      </c>
      <c r="H9" s="26">
        <f>I9*G9</f>
        <v>421.4046823</v>
      </c>
      <c r="I9" s="26">
        <f>(N9/M9)*1000</f>
        <v>421404.6823</v>
      </c>
      <c r="J9" s="27" t="s">
        <v>29</v>
      </c>
      <c r="K9" s="26">
        <f>sum(I9/3)/6</f>
        <v>23411.37124</v>
      </c>
      <c r="L9" s="28">
        <v>8.54</v>
      </c>
      <c r="M9" s="28">
        <v>5.98</v>
      </c>
      <c r="N9" s="29">
        <f>O9*0.7</f>
        <v>2520</v>
      </c>
      <c r="O9" s="30">
        <v>3600.0</v>
      </c>
      <c r="P9" s="24" t="s">
        <v>30</v>
      </c>
      <c r="Q9" s="31"/>
      <c r="R9" s="2"/>
      <c r="S9" s="2"/>
      <c r="T9" s="2"/>
      <c r="U9" s="2"/>
      <c r="V9" s="2"/>
      <c r="W9" s="2"/>
      <c r="X9" s="2"/>
      <c r="Y9" s="2"/>
      <c r="Z9" s="2"/>
      <c r="AA9" s="2"/>
    </row>
    <row r="10" ht="60.0" customHeight="1">
      <c r="A10" s="32"/>
      <c r="B10" s="32"/>
      <c r="C10" s="32"/>
      <c r="D10" s="32"/>
      <c r="E10" s="32"/>
      <c r="F10" s="32"/>
      <c r="G10" s="32"/>
      <c r="H10" s="32"/>
      <c r="I10" s="32"/>
      <c r="J10" s="32"/>
      <c r="K10" s="32"/>
      <c r="L10" s="32"/>
      <c r="M10" s="32"/>
      <c r="N10" s="32"/>
      <c r="O10" s="32"/>
      <c r="P10" s="32"/>
      <c r="Q10" s="31"/>
      <c r="R10" s="33"/>
      <c r="S10" s="33"/>
      <c r="T10" s="2"/>
      <c r="U10" s="2"/>
      <c r="V10" s="2"/>
      <c r="W10" s="2"/>
      <c r="X10" s="2"/>
      <c r="Y10" s="2"/>
      <c r="Z10" s="2"/>
      <c r="AA10" s="2"/>
    </row>
    <row r="11" ht="60.0" customHeight="1">
      <c r="A11" s="32"/>
      <c r="B11" s="32"/>
      <c r="C11" s="32"/>
      <c r="D11" s="34"/>
      <c r="E11" s="34"/>
      <c r="F11" s="32"/>
      <c r="G11" s="32"/>
      <c r="H11" s="32"/>
      <c r="I11" s="32"/>
      <c r="J11" s="32"/>
      <c r="K11" s="32"/>
      <c r="L11" s="32"/>
      <c r="M11" s="32"/>
      <c r="N11" s="34"/>
      <c r="O11" s="32"/>
      <c r="P11" s="32"/>
      <c r="Q11" s="31"/>
      <c r="R11" s="33"/>
      <c r="S11" s="2"/>
      <c r="T11" s="2"/>
      <c r="U11" s="2"/>
      <c r="V11" s="2"/>
      <c r="W11" s="2"/>
      <c r="X11" s="2"/>
      <c r="Y11" s="2"/>
      <c r="Z11" s="2"/>
      <c r="AA11" s="2"/>
    </row>
    <row r="12" ht="60.0" customHeight="1">
      <c r="A12" s="32"/>
      <c r="B12" s="32"/>
      <c r="C12" s="32"/>
      <c r="D12" s="22" t="s">
        <v>31</v>
      </c>
      <c r="E12" s="23" t="s">
        <v>27</v>
      </c>
      <c r="F12" s="32"/>
      <c r="G12" s="25">
        <v>0.001</v>
      </c>
      <c r="H12" s="26">
        <f>I12*G12</f>
        <v>280.9364548</v>
      </c>
      <c r="I12" s="26">
        <f>(N12/M12)*1000</f>
        <v>280936.4548</v>
      </c>
      <c r="J12" s="27" t="s">
        <v>29</v>
      </c>
      <c r="K12" s="26">
        <f>sum(I12/3)/6</f>
        <v>15607.58082</v>
      </c>
      <c r="L12" s="28">
        <v>8.54</v>
      </c>
      <c r="M12" s="28">
        <v>5.98</v>
      </c>
      <c r="N12" s="29">
        <f>O12*0.7</f>
        <v>1680</v>
      </c>
      <c r="O12" s="30">
        <v>2400.0</v>
      </c>
      <c r="P12" s="32"/>
      <c r="Q12" s="31"/>
      <c r="R12" s="2"/>
      <c r="S12" s="2"/>
      <c r="T12" s="2"/>
      <c r="U12" s="2"/>
      <c r="V12" s="2"/>
      <c r="W12" s="2"/>
      <c r="X12" s="2"/>
      <c r="Y12" s="2"/>
      <c r="Z12" s="2"/>
      <c r="AA12" s="2"/>
    </row>
    <row r="13" ht="60.0" customHeight="1">
      <c r="A13" s="32"/>
      <c r="B13" s="32"/>
      <c r="C13" s="32"/>
      <c r="D13" s="32"/>
      <c r="E13" s="32"/>
      <c r="F13" s="32"/>
      <c r="G13" s="32"/>
      <c r="H13" s="32"/>
      <c r="I13" s="32"/>
      <c r="J13" s="32"/>
      <c r="K13" s="32"/>
      <c r="L13" s="32"/>
      <c r="M13" s="32"/>
      <c r="N13" s="32"/>
      <c r="O13" s="32"/>
      <c r="P13" s="32"/>
      <c r="Q13" s="31"/>
      <c r="R13" s="2"/>
      <c r="S13" s="2"/>
      <c r="T13" s="2"/>
      <c r="U13" s="2"/>
      <c r="V13" s="2"/>
      <c r="W13" s="2"/>
      <c r="X13" s="2"/>
      <c r="Y13" s="2"/>
      <c r="Z13" s="2"/>
      <c r="AA13" s="2"/>
    </row>
    <row r="14" ht="60.0" customHeight="1">
      <c r="A14" s="32"/>
      <c r="B14" s="32"/>
      <c r="C14" s="32"/>
      <c r="D14" s="34"/>
      <c r="E14" s="34"/>
      <c r="F14" s="32"/>
      <c r="G14" s="32"/>
      <c r="H14" s="32"/>
      <c r="I14" s="32"/>
      <c r="J14" s="32"/>
      <c r="K14" s="32"/>
      <c r="L14" s="32"/>
      <c r="M14" s="32"/>
      <c r="N14" s="34"/>
      <c r="O14" s="32"/>
      <c r="P14" s="32"/>
      <c r="Q14" s="31"/>
      <c r="R14" s="2"/>
      <c r="S14" s="2"/>
      <c r="T14" s="2"/>
      <c r="U14" s="2"/>
      <c r="V14" s="2"/>
      <c r="W14" s="2"/>
      <c r="X14" s="2"/>
      <c r="Y14" s="2"/>
      <c r="Z14" s="2"/>
      <c r="AA14" s="2"/>
    </row>
    <row r="15" ht="60.0" customHeight="1">
      <c r="A15" s="32"/>
      <c r="B15" s="21" t="s">
        <v>24</v>
      </c>
      <c r="C15" s="20" t="s">
        <v>32</v>
      </c>
      <c r="D15" s="22" t="s">
        <v>26</v>
      </c>
      <c r="E15" s="23" t="s">
        <v>27</v>
      </c>
      <c r="F15" s="32"/>
      <c r="G15" s="25">
        <v>0.001</v>
      </c>
      <c r="H15" s="26">
        <f>I15*G15</f>
        <v>3090.301003</v>
      </c>
      <c r="I15" s="26">
        <f>(N15/M15)*1000</f>
        <v>3090301.003</v>
      </c>
      <c r="J15" s="27" t="s">
        <v>29</v>
      </c>
      <c r="K15" s="26">
        <f>sum(I15/3)/6</f>
        <v>171683.3891</v>
      </c>
      <c r="L15" s="28">
        <v>8.54</v>
      </c>
      <c r="M15" s="28">
        <v>5.98</v>
      </c>
      <c r="N15" s="29">
        <f>O15*0.7</f>
        <v>18480</v>
      </c>
      <c r="O15" s="30">
        <v>26400.0</v>
      </c>
      <c r="P15" s="32"/>
      <c r="Q15" s="31"/>
      <c r="R15" s="2"/>
      <c r="S15" s="2"/>
      <c r="T15" s="2"/>
      <c r="U15" s="2"/>
      <c r="V15" s="2"/>
      <c r="W15" s="2"/>
      <c r="X15" s="2"/>
      <c r="Y15" s="2"/>
      <c r="Z15" s="2"/>
      <c r="AA15" s="2"/>
    </row>
    <row r="16" ht="60.0" customHeight="1">
      <c r="A16" s="32"/>
      <c r="B16" s="32"/>
      <c r="C16" s="32"/>
      <c r="D16" s="32"/>
      <c r="E16" s="32"/>
      <c r="F16" s="32"/>
      <c r="G16" s="32"/>
      <c r="H16" s="32"/>
      <c r="I16" s="32"/>
      <c r="J16" s="32"/>
      <c r="K16" s="32"/>
      <c r="L16" s="32"/>
      <c r="M16" s="32"/>
      <c r="N16" s="32"/>
      <c r="O16" s="32"/>
      <c r="P16" s="32"/>
      <c r="Q16" s="31"/>
      <c r="R16" s="2"/>
      <c r="S16" s="2"/>
      <c r="T16" s="2"/>
      <c r="U16" s="2"/>
      <c r="V16" s="2"/>
      <c r="W16" s="2"/>
      <c r="X16" s="2"/>
      <c r="Y16" s="2"/>
      <c r="Z16" s="2"/>
      <c r="AA16" s="2"/>
    </row>
    <row r="17" ht="60.0" customHeight="1">
      <c r="A17" s="32"/>
      <c r="B17" s="32"/>
      <c r="C17" s="32"/>
      <c r="D17" s="32"/>
      <c r="E17" s="32"/>
      <c r="F17" s="32"/>
      <c r="G17" s="32"/>
      <c r="H17" s="32"/>
      <c r="I17" s="32"/>
      <c r="J17" s="32"/>
      <c r="K17" s="32"/>
      <c r="L17" s="32"/>
      <c r="M17" s="32"/>
      <c r="N17" s="32"/>
      <c r="O17" s="32"/>
      <c r="P17" s="32"/>
      <c r="Q17" s="31"/>
      <c r="R17" s="35"/>
      <c r="S17" s="2"/>
      <c r="T17" s="2"/>
      <c r="U17" s="2"/>
      <c r="V17" s="2"/>
      <c r="W17" s="2"/>
      <c r="X17" s="2"/>
      <c r="Y17" s="2"/>
      <c r="Z17" s="2"/>
      <c r="AA17" s="2"/>
    </row>
    <row r="18" ht="60.0" customHeight="1">
      <c r="A18" s="32"/>
      <c r="B18" s="32"/>
      <c r="C18" s="32"/>
      <c r="D18" s="34"/>
      <c r="E18" s="34"/>
      <c r="F18" s="32"/>
      <c r="G18" s="32"/>
      <c r="H18" s="32"/>
      <c r="I18" s="32"/>
      <c r="J18" s="32"/>
      <c r="K18" s="32"/>
      <c r="L18" s="32"/>
      <c r="M18" s="32"/>
      <c r="N18" s="34"/>
      <c r="O18" s="32"/>
      <c r="P18" s="32"/>
      <c r="Q18" s="31"/>
      <c r="R18" s="35"/>
      <c r="S18" s="2"/>
      <c r="T18" s="2"/>
      <c r="U18" s="2"/>
      <c r="V18" s="2"/>
      <c r="W18" s="2"/>
      <c r="X18" s="2"/>
      <c r="Y18" s="2"/>
      <c r="Z18" s="2"/>
      <c r="AA18" s="2"/>
    </row>
    <row r="19" ht="60.0" customHeight="1">
      <c r="A19" s="32"/>
      <c r="B19" s="32"/>
      <c r="C19" s="32"/>
      <c r="D19" s="22" t="s">
        <v>31</v>
      </c>
      <c r="E19" s="36" t="s">
        <v>33</v>
      </c>
      <c r="F19" s="32"/>
      <c r="G19" s="25">
        <v>0.001</v>
      </c>
      <c r="H19" s="26">
        <f>I19*G19</f>
        <v>2060.200669</v>
      </c>
      <c r="I19" s="26">
        <f>(N19/M19)*1000</f>
        <v>2060200.669</v>
      </c>
      <c r="J19" s="27" t="s">
        <v>29</v>
      </c>
      <c r="K19" s="26">
        <f>sum(I19/3)/6</f>
        <v>114455.5927</v>
      </c>
      <c r="L19" s="28">
        <v>8.54</v>
      </c>
      <c r="M19" s="28">
        <v>5.98</v>
      </c>
      <c r="N19" s="29">
        <f>O19*0.7</f>
        <v>12320</v>
      </c>
      <c r="O19" s="30">
        <v>17600.0</v>
      </c>
      <c r="P19" s="32"/>
      <c r="Q19" s="31"/>
      <c r="R19" s="2"/>
      <c r="S19" s="2"/>
      <c r="T19" s="2"/>
      <c r="U19" s="2"/>
      <c r="V19" s="2"/>
      <c r="W19" s="2"/>
      <c r="X19" s="2"/>
      <c r="Y19" s="2"/>
      <c r="Z19" s="2"/>
      <c r="AA19" s="2"/>
    </row>
    <row r="20" ht="60.0" customHeight="1">
      <c r="A20" s="32"/>
      <c r="B20" s="32"/>
      <c r="C20" s="32"/>
      <c r="D20" s="32"/>
      <c r="E20" s="32"/>
      <c r="F20" s="32"/>
      <c r="G20" s="32"/>
      <c r="H20" s="32"/>
      <c r="I20" s="32"/>
      <c r="J20" s="32"/>
      <c r="K20" s="32"/>
      <c r="L20" s="32"/>
      <c r="M20" s="32"/>
      <c r="N20" s="32"/>
      <c r="O20" s="32"/>
      <c r="P20" s="32"/>
      <c r="Q20" s="31"/>
      <c r="R20" s="2"/>
      <c r="S20" s="2"/>
      <c r="T20" s="2"/>
      <c r="U20" s="2"/>
      <c r="V20" s="2"/>
      <c r="W20" s="2"/>
      <c r="X20" s="2"/>
      <c r="Y20" s="2"/>
      <c r="Z20" s="2"/>
      <c r="AA20" s="2"/>
    </row>
    <row r="21" ht="60.0" customHeight="1">
      <c r="A21" s="32"/>
      <c r="B21" s="32"/>
      <c r="C21" s="32"/>
      <c r="D21" s="32"/>
      <c r="E21" s="32"/>
      <c r="F21" s="32"/>
      <c r="G21" s="32"/>
      <c r="H21" s="32"/>
      <c r="I21" s="32"/>
      <c r="J21" s="32"/>
      <c r="K21" s="32"/>
      <c r="L21" s="32"/>
      <c r="M21" s="32"/>
      <c r="N21" s="32"/>
      <c r="O21" s="32"/>
      <c r="P21" s="32"/>
      <c r="Q21" s="31"/>
      <c r="R21" s="2"/>
      <c r="S21" s="2"/>
      <c r="T21" s="2"/>
      <c r="U21" s="2"/>
      <c r="V21" s="2"/>
      <c r="W21" s="2"/>
      <c r="X21" s="2"/>
      <c r="Y21" s="2"/>
      <c r="Z21" s="2"/>
      <c r="AA21" s="2"/>
    </row>
    <row r="22" ht="60.0" customHeight="1">
      <c r="A22" s="32"/>
      <c r="B22" s="32"/>
      <c r="C22" s="32"/>
      <c r="D22" s="34"/>
      <c r="E22" s="34"/>
      <c r="F22" s="34"/>
      <c r="G22" s="32"/>
      <c r="H22" s="32"/>
      <c r="I22" s="32"/>
      <c r="J22" s="32"/>
      <c r="K22" s="32"/>
      <c r="L22" s="32"/>
      <c r="M22" s="32"/>
      <c r="N22" s="34"/>
      <c r="O22" s="32"/>
      <c r="P22" s="34"/>
      <c r="Q22" s="31"/>
      <c r="R22" s="2"/>
      <c r="S22" s="2"/>
      <c r="T22" s="2"/>
      <c r="U22" s="2"/>
      <c r="V22" s="2"/>
      <c r="W22" s="2"/>
      <c r="X22" s="2"/>
      <c r="Y22" s="2"/>
      <c r="Z22" s="2"/>
      <c r="AA22" s="2"/>
    </row>
    <row r="23" ht="24.0" customHeight="1">
      <c r="A23" s="37"/>
      <c r="B23" s="38"/>
      <c r="C23" s="37"/>
      <c r="D23" s="39"/>
      <c r="E23" s="40"/>
      <c r="F23" s="39"/>
      <c r="G23" s="41">
        <v>0.001</v>
      </c>
      <c r="H23" s="42">
        <f t="shared" ref="H23:I23" si="1">sum(H9:H17)</f>
        <v>3792.64214</v>
      </c>
      <c r="I23" s="42">
        <f t="shared" si="1"/>
        <v>3792642.14</v>
      </c>
      <c r="J23" s="43"/>
      <c r="K23" s="42">
        <f>sum(K9:K17)</f>
        <v>210702.3411</v>
      </c>
      <c r="L23" s="44">
        <f>L9 </f>
        <v>8.54</v>
      </c>
      <c r="M23" s="44">
        <f>sum(M9:M18)</f>
        <v>17.94</v>
      </c>
      <c r="N23" s="45">
        <f t="shared" ref="N23:O23" si="2">sum(N9:N22)</f>
        <v>35000</v>
      </c>
      <c r="O23" s="45">
        <f t="shared" si="2"/>
        <v>50000</v>
      </c>
      <c r="P23" s="46"/>
      <c r="Q23" s="2"/>
      <c r="R23" s="2"/>
      <c r="S23" s="2"/>
      <c r="T23" s="2"/>
      <c r="U23" s="2"/>
      <c r="V23" s="2"/>
      <c r="W23" s="2"/>
      <c r="X23" s="2"/>
      <c r="Y23" s="2"/>
      <c r="Z23" s="2"/>
      <c r="AA23" s="2"/>
    </row>
    <row r="24" ht="14.25" customHeight="1">
      <c r="A24" s="2"/>
      <c r="B24" s="47"/>
      <c r="C24" s="2"/>
      <c r="D24" s="48"/>
      <c r="E24" s="48"/>
      <c r="F24" s="48"/>
      <c r="G24" s="49"/>
      <c r="H24" s="49"/>
      <c r="I24" s="49"/>
      <c r="J24" s="48"/>
      <c r="K24" s="48"/>
      <c r="L24" s="48"/>
      <c r="M24" s="48"/>
      <c r="N24" s="50"/>
      <c r="O24" s="2"/>
      <c r="P24" s="2"/>
      <c r="Q24" s="2"/>
      <c r="R24" s="2"/>
      <c r="S24" s="2"/>
      <c r="T24" s="2"/>
      <c r="U24" s="2"/>
      <c r="V24" s="2"/>
      <c r="W24" s="2"/>
      <c r="X24" s="2"/>
      <c r="Y24" s="2"/>
      <c r="Z24" s="2"/>
      <c r="AA24" s="2"/>
    </row>
    <row r="25" ht="31.5" customHeight="1">
      <c r="A25" s="51" t="s">
        <v>34</v>
      </c>
      <c r="H25" s="52"/>
      <c r="I25" s="2"/>
      <c r="J25" s="53"/>
      <c r="K25" s="53"/>
      <c r="L25" s="53"/>
      <c r="M25" s="53"/>
      <c r="N25" s="53"/>
      <c r="O25" s="53"/>
      <c r="P25" s="2"/>
      <c r="Q25" s="2"/>
      <c r="R25" s="2"/>
      <c r="S25" s="2"/>
      <c r="T25" s="2"/>
      <c r="U25" s="54"/>
      <c r="V25" s="2"/>
      <c r="W25" s="2"/>
      <c r="X25" s="2"/>
      <c r="Y25" s="2"/>
      <c r="Z25" s="2"/>
      <c r="AA25" s="2"/>
    </row>
    <row r="26" ht="14.25" customHeight="1">
      <c r="A26" s="55"/>
      <c r="B26" s="55"/>
      <c r="C26" s="55"/>
      <c r="D26" s="55"/>
      <c r="E26" s="55"/>
      <c r="F26" s="55"/>
      <c r="G26" s="55"/>
      <c r="H26" s="56"/>
      <c r="I26" s="2"/>
      <c r="J26" s="2"/>
      <c r="K26" s="2"/>
      <c r="L26" s="53"/>
      <c r="M26" s="53"/>
      <c r="N26" s="53"/>
      <c r="O26" s="53"/>
      <c r="P26" s="2"/>
      <c r="Q26" s="2"/>
      <c r="R26" s="2"/>
      <c r="S26" s="2"/>
      <c r="T26" s="2"/>
      <c r="U26" s="2"/>
      <c r="V26" s="2"/>
      <c r="W26" s="2"/>
      <c r="X26" s="2"/>
      <c r="Y26" s="2"/>
      <c r="Z26" s="2"/>
      <c r="AA26" s="2"/>
    </row>
    <row r="27" ht="14.25" customHeight="1">
      <c r="A27" s="2"/>
      <c r="B27" s="2"/>
      <c r="C27" s="2"/>
      <c r="D27" s="57"/>
      <c r="E27" s="53"/>
      <c r="F27" s="57"/>
      <c r="G27" s="2"/>
      <c r="H27" s="2"/>
      <c r="I27" s="2"/>
      <c r="J27" s="2"/>
      <c r="K27" s="2"/>
      <c r="L27" s="53"/>
      <c r="M27" s="53"/>
      <c r="N27" s="53"/>
      <c r="O27" s="53"/>
      <c r="P27" s="2"/>
      <c r="Q27" s="2"/>
      <c r="R27" s="2"/>
      <c r="S27" s="2"/>
      <c r="T27" s="2"/>
      <c r="U27" s="2"/>
      <c r="V27" s="2"/>
      <c r="W27" s="2"/>
      <c r="X27" s="2"/>
      <c r="Y27" s="2"/>
      <c r="Z27" s="2"/>
      <c r="AA27" s="2"/>
    </row>
    <row r="28" ht="14.25" customHeight="1">
      <c r="A28" s="2"/>
      <c r="B28" s="2"/>
      <c r="C28" s="2"/>
      <c r="D28" s="58"/>
      <c r="E28" s="53"/>
      <c r="F28" s="58"/>
      <c r="G28" s="2"/>
      <c r="H28" s="2"/>
      <c r="I28" s="2"/>
      <c r="J28" s="2"/>
      <c r="K28" s="2"/>
      <c r="L28" s="2"/>
      <c r="M28" s="2"/>
      <c r="N28" s="2"/>
      <c r="O28" s="2"/>
      <c r="P28" s="2"/>
      <c r="Q28" s="2"/>
      <c r="R28" s="2"/>
      <c r="S28" s="2"/>
      <c r="T28" s="2"/>
      <c r="U28" s="2"/>
      <c r="V28" s="2"/>
      <c r="W28" s="2"/>
      <c r="X28" s="2"/>
      <c r="Y28" s="2"/>
      <c r="Z28" s="2"/>
      <c r="AA28" s="2"/>
    </row>
    <row r="29" ht="14.25" customHeight="1">
      <c r="A29" s="2"/>
      <c r="B29" s="2"/>
      <c r="C29" s="2"/>
      <c r="D29" s="16"/>
      <c r="E29" s="2"/>
      <c r="F29" s="16"/>
      <c r="G29" s="2"/>
      <c r="H29" s="2"/>
      <c r="I29" s="2"/>
      <c r="J29" s="2"/>
      <c r="K29" s="2"/>
      <c r="L29" s="2"/>
      <c r="M29" s="2"/>
      <c r="N29" s="2"/>
      <c r="O29" s="2"/>
      <c r="P29" s="2"/>
      <c r="Q29" s="2"/>
      <c r="R29" s="2"/>
      <c r="S29" s="2"/>
      <c r="T29" s="2"/>
      <c r="U29" s="2"/>
      <c r="V29" s="2"/>
      <c r="W29" s="2"/>
      <c r="X29" s="2"/>
      <c r="Y29" s="2"/>
      <c r="Z29" s="2"/>
      <c r="AA29" s="2"/>
    </row>
    <row r="30" ht="14.25" customHeight="1">
      <c r="A30" s="2"/>
      <c r="B30" s="2"/>
      <c r="C30" s="2"/>
      <c r="D30" s="2"/>
      <c r="E30" s="2"/>
      <c r="F30" s="2"/>
      <c r="G30" s="2"/>
      <c r="H30" s="2"/>
      <c r="I30" s="2"/>
      <c r="J30" s="2"/>
      <c r="K30" s="2"/>
      <c r="L30" s="2"/>
      <c r="M30" s="2"/>
      <c r="N30" s="54"/>
      <c r="O30" s="59"/>
      <c r="P30" s="2"/>
      <c r="Q30" s="2"/>
      <c r="R30" s="2"/>
      <c r="S30" s="2"/>
      <c r="T30" s="2"/>
      <c r="U30" s="2"/>
      <c r="V30" s="2"/>
      <c r="W30" s="2"/>
      <c r="X30" s="2"/>
      <c r="Y30" s="2"/>
      <c r="Z30" s="2"/>
      <c r="AA30" s="2"/>
    </row>
    <row r="31" ht="14.25" customHeight="1">
      <c r="A31" s="2"/>
      <c r="B31" s="2"/>
      <c r="C31" s="2"/>
      <c r="D31" s="2"/>
      <c r="E31" s="2"/>
      <c r="F31" s="2"/>
      <c r="G31" s="2"/>
      <c r="H31" s="2"/>
      <c r="I31" s="2"/>
      <c r="J31" s="2"/>
      <c r="K31" s="2"/>
      <c r="L31" s="2"/>
      <c r="M31" s="2"/>
      <c r="N31" s="54"/>
      <c r="O31" s="59"/>
      <c r="P31" s="2"/>
      <c r="Q31" s="2"/>
      <c r="R31" s="2"/>
      <c r="S31" s="2"/>
      <c r="T31" s="2"/>
      <c r="U31" s="2"/>
      <c r="V31" s="2"/>
      <c r="W31" s="2"/>
      <c r="X31" s="2"/>
      <c r="Y31" s="2"/>
      <c r="Z31" s="2"/>
      <c r="AA31" s="2"/>
    </row>
    <row r="32" ht="14.25" customHeight="1">
      <c r="A32" s="60"/>
      <c r="B32" s="2"/>
      <c r="C32" s="60"/>
      <c r="D32" s="2"/>
      <c r="E32" s="2"/>
      <c r="F32" s="2"/>
      <c r="G32" s="2"/>
      <c r="H32" s="2"/>
      <c r="I32" s="2"/>
      <c r="J32" s="2"/>
      <c r="K32" s="2"/>
      <c r="L32" s="2"/>
      <c r="M32" s="2"/>
      <c r="N32" s="2"/>
      <c r="O32" s="2"/>
      <c r="P32" s="2"/>
      <c r="Q32" s="2"/>
      <c r="R32" s="2"/>
      <c r="S32" s="2"/>
      <c r="T32" s="2"/>
      <c r="U32" s="2"/>
      <c r="V32" s="2"/>
      <c r="W32" s="2"/>
      <c r="X32" s="2"/>
      <c r="Y32" s="2"/>
      <c r="Z32" s="2"/>
      <c r="AA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4.25" customHeight="1">
      <c r="A40" s="60"/>
      <c r="B40" s="2"/>
      <c r="C40" s="60"/>
      <c r="D40" s="2"/>
      <c r="E40" s="2"/>
      <c r="F40" s="2"/>
      <c r="G40" s="2"/>
      <c r="H40" s="2"/>
      <c r="I40" s="2"/>
      <c r="J40" s="2"/>
      <c r="K40" s="2"/>
      <c r="L40" s="2"/>
      <c r="M40" s="2"/>
      <c r="N40" s="2"/>
      <c r="O40" s="2"/>
      <c r="P40" s="2"/>
      <c r="Q40" s="2"/>
      <c r="R40" s="2"/>
      <c r="S40" s="2"/>
      <c r="T40" s="2"/>
      <c r="U40" s="2"/>
      <c r="V40" s="2"/>
      <c r="W40" s="2"/>
      <c r="X40" s="2"/>
      <c r="Y40" s="2"/>
      <c r="Z40" s="2"/>
      <c r="AA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60"/>
      <c r="B48" s="2"/>
      <c r="C48" s="60"/>
      <c r="D48" s="2"/>
      <c r="E48" s="2"/>
      <c r="F48" s="2"/>
      <c r="G48" s="2"/>
      <c r="H48" s="2"/>
      <c r="I48" s="2"/>
      <c r="J48" s="2"/>
      <c r="K48" s="2"/>
      <c r="L48" s="2"/>
      <c r="M48" s="2"/>
      <c r="N48" s="2"/>
      <c r="O48" s="2"/>
      <c r="P48" s="2"/>
      <c r="Q48" s="2"/>
      <c r="R48" s="2"/>
      <c r="S48" s="2"/>
      <c r="T48" s="2"/>
      <c r="U48" s="2"/>
      <c r="V48" s="2"/>
      <c r="W48" s="2"/>
      <c r="X48" s="2"/>
      <c r="Y48" s="2"/>
      <c r="Z48" s="2"/>
      <c r="AA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4.25" customHeight="1">
      <c r="A56" s="60"/>
      <c r="B56" s="2"/>
      <c r="C56" s="60"/>
      <c r="D56" s="2"/>
      <c r="E56" s="2"/>
      <c r="F56" s="2"/>
      <c r="G56" s="2"/>
      <c r="H56" s="2"/>
      <c r="I56" s="2"/>
      <c r="J56" s="2"/>
      <c r="K56" s="2"/>
      <c r="L56" s="2"/>
      <c r="M56" s="2"/>
      <c r="N56" s="2"/>
      <c r="O56" s="2"/>
      <c r="P56" s="2"/>
      <c r="Q56" s="2"/>
      <c r="R56" s="2"/>
      <c r="S56" s="2"/>
      <c r="T56" s="2"/>
      <c r="U56" s="2"/>
      <c r="V56" s="2"/>
      <c r="W56" s="2"/>
      <c r="X56" s="2"/>
      <c r="Y56" s="2"/>
      <c r="Z56" s="2"/>
      <c r="AA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61"/>
      <c r="B62" s="2"/>
      <c r="C62" s="61"/>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61"/>
      <c r="B63" s="2"/>
      <c r="C63" s="61"/>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61"/>
      <c r="B64" s="2"/>
      <c r="C64" s="61"/>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61"/>
      <c r="B65" s="2"/>
      <c r="C65" s="61"/>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61"/>
      <c r="B66" s="2"/>
      <c r="C66" s="61"/>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61"/>
      <c r="B67" s="2"/>
      <c r="C67" s="61"/>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61"/>
      <c r="B68" s="2"/>
      <c r="C68" s="61"/>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61"/>
      <c r="B69" s="2"/>
      <c r="C69" s="61"/>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61"/>
      <c r="B70" s="2"/>
      <c r="C70" s="61"/>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61"/>
      <c r="B71" s="2"/>
      <c r="C71" s="61"/>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61"/>
      <c r="B72" s="2"/>
      <c r="C72" s="61"/>
      <c r="D72" s="2"/>
      <c r="E72" s="2"/>
      <c r="F72" s="2"/>
      <c r="G72" s="2"/>
      <c r="H72" s="2"/>
      <c r="I72" s="2"/>
      <c r="J72" s="2"/>
      <c r="K72" s="62"/>
      <c r="L72" s="62"/>
      <c r="M72" s="62"/>
      <c r="N72" s="62"/>
      <c r="O72" s="62"/>
      <c r="P72" s="62"/>
      <c r="Q72" s="62"/>
      <c r="R72" s="62"/>
      <c r="S72" s="62"/>
      <c r="T72" s="62"/>
      <c r="U72" s="62"/>
      <c r="V72" s="62"/>
      <c r="W72" s="62"/>
      <c r="X72" s="62"/>
      <c r="Y72" s="62"/>
      <c r="Z72" s="62"/>
      <c r="AA72" s="62"/>
    </row>
    <row r="73"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ht="14.2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ht="14.25" customHeight="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sheetData>
  <mergeCells count="53">
    <mergeCell ref="G9:G11"/>
    <mergeCell ref="H9:H11"/>
    <mergeCell ref="D9:D11"/>
    <mergeCell ref="D12:D14"/>
    <mergeCell ref="E12:E14"/>
    <mergeCell ref="G12:G14"/>
    <mergeCell ref="I12:I14"/>
    <mergeCell ref="J12:J14"/>
    <mergeCell ref="K9:K11"/>
    <mergeCell ref="K12:K14"/>
    <mergeCell ref="L12:L14"/>
    <mergeCell ref="M12:M14"/>
    <mergeCell ref="N12:N14"/>
    <mergeCell ref="O12:O14"/>
    <mergeCell ref="C9:C14"/>
    <mergeCell ref="D19:D22"/>
    <mergeCell ref="E19:E22"/>
    <mergeCell ref="G19:G22"/>
    <mergeCell ref="H19:H22"/>
    <mergeCell ref="I19:I22"/>
    <mergeCell ref="J19:J22"/>
    <mergeCell ref="K19:K22"/>
    <mergeCell ref="F2:K4"/>
    <mergeCell ref="A9:A22"/>
    <mergeCell ref="B9:B14"/>
    <mergeCell ref="E9:E11"/>
    <mergeCell ref="F9:F22"/>
    <mergeCell ref="H12:H14"/>
    <mergeCell ref="K15:K18"/>
    <mergeCell ref="A25:H26"/>
    <mergeCell ref="N19:N22"/>
    <mergeCell ref="O19:O22"/>
    <mergeCell ref="I9:I11"/>
    <mergeCell ref="J9:J11"/>
    <mergeCell ref="L9:L11"/>
    <mergeCell ref="M9:M11"/>
    <mergeCell ref="N9:N11"/>
    <mergeCell ref="O9:O11"/>
    <mergeCell ref="P9:P22"/>
    <mergeCell ref="B15:B22"/>
    <mergeCell ref="C15:C22"/>
    <mergeCell ref="D15:D18"/>
    <mergeCell ref="E15:E18"/>
    <mergeCell ref="G15:G18"/>
    <mergeCell ref="H15:H18"/>
    <mergeCell ref="I15:I18"/>
    <mergeCell ref="J15:J18"/>
    <mergeCell ref="L15:L18"/>
    <mergeCell ref="M15:M18"/>
    <mergeCell ref="N15:N18"/>
    <mergeCell ref="O15:O18"/>
    <mergeCell ref="L19:L22"/>
    <mergeCell ref="M19:M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3" width="16.88"/>
    <col customWidth="1" min="4" max="6" width="22.88"/>
    <col customWidth="1" min="7" max="11" width="16.88"/>
    <col customWidth="1" min="12" max="13" width="13.5"/>
    <col customWidth="1" min="14" max="15" width="16.88"/>
    <col customWidth="1" min="16" max="16" width="26.88"/>
    <col customWidth="1" min="17" max="17" width="7.63"/>
    <col customWidth="1" min="18" max="18" width="11.13"/>
    <col customWidth="1" min="19" max="27" width="7.63"/>
  </cols>
  <sheetData>
    <row r="1" ht="14.25" customHeight="1">
      <c r="A1" s="1" t="s">
        <v>0</v>
      </c>
      <c r="B1" s="2"/>
      <c r="C1" s="3"/>
      <c r="D1" s="3"/>
      <c r="E1" s="2"/>
      <c r="F1" s="2"/>
      <c r="G1" s="2"/>
      <c r="H1" s="2"/>
      <c r="I1" s="2"/>
      <c r="J1" s="2"/>
      <c r="K1" s="2"/>
      <c r="L1" s="2"/>
      <c r="M1" s="2"/>
      <c r="N1" s="2"/>
      <c r="O1" s="2"/>
      <c r="P1" s="2"/>
      <c r="Q1" s="2"/>
      <c r="R1" s="2"/>
      <c r="S1" s="2"/>
      <c r="T1" s="2"/>
      <c r="U1" s="2"/>
      <c r="V1" s="2"/>
      <c r="W1" s="2"/>
      <c r="X1" s="2"/>
      <c r="Y1" s="2"/>
      <c r="Z1" s="2"/>
      <c r="AA1" s="2"/>
    </row>
    <row r="2" ht="28.5" customHeight="1">
      <c r="A2" s="4" t="s">
        <v>1</v>
      </c>
      <c r="B2" s="5">
        <v>50000.0</v>
      </c>
      <c r="C2" s="6"/>
      <c r="D2" s="6"/>
      <c r="E2" s="7"/>
      <c r="F2" s="8" t="s">
        <v>2</v>
      </c>
      <c r="L2" s="2"/>
      <c r="M2" s="2"/>
      <c r="N2" s="2"/>
      <c r="O2" s="2"/>
      <c r="P2" s="2"/>
      <c r="Q2" s="2"/>
      <c r="R2" s="2"/>
      <c r="S2" s="2"/>
      <c r="T2" s="2"/>
      <c r="U2" s="2"/>
      <c r="V2" s="2"/>
      <c r="W2" s="2"/>
      <c r="X2" s="2"/>
      <c r="Y2" s="2"/>
      <c r="Z2" s="2"/>
      <c r="AA2" s="2"/>
    </row>
    <row r="3" ht="28.5" customHeight="1">
      <c r="A3" s="9" t="s">
        <v>3</v>
      </c>
      <c r="B3" s="10">
        <f>0.7*B2</f>
        <v>35000</v>
      </c>
      <c r="C3" s="6"/>
      <c r="D3" s="6"/>
      <c r="E3" s="11"/>
      <c r="L3" s="2"/>
      <c r="M3" s="2"/>
      <c r="N3" s="2"/>
      <c r="O3" s="2"/>
      <c r="P3" s="2"/>
      <c r="Q3" s="2"/>
      <c r="R3" s="2"/>
      <c r="S3" s="2"/>
      <c r="T3" s="2"/>
      <c r="U3" s="2"/>
      <c r="V3" s="2"/>
      <c r="W3" s="2"/>
      <c r="X3" s="2"/>
      <c r="Y3" s="2"/>
      <c r="Z3" s="2"/>
      <c r="AA3" s="2"/>
    </row>
    <row r="4" ht="28.5" customHeight="1">
      <c r="A4" s="12" t="s">
        <v>4</v>
      </c>
      <c r="B4" s="10">
        <f>B2-B3</f>
        <v>15000</v>
      </c>
      <c r="C4" s="6"/>
      <c r="D4" s="6"/>
      <c r="E4" s="13"/>
      <c r="F4" s="14"/>
      <c r="G4" s="14"/>
      <c r="H4" s="14"/>
      <c r="I4" s="14"/>
      <c r="J4" s="14"/>
      <c r="K4" s="14"/>
      <c r="L4" s="2"/>
      <c r="M4" s="2"/>
      <c r="N4" s="2"/>
      <c r="O4" s="2"/>
      <c r="P4" s="2"/>
      <c r="Q4" s="2"/>
      <c r="R4" s="2"/>
      <c r="S4" s="2"/>
      <c r="T4" s="2"/>
      <c r="U4" s="2"/>
      <c r="V4" s="2"/>
      <c r="W4" s="2"/>
      <c r="X4" s="2"/>
      <c r="Y4" s="2"/>
      <c r="Z4" s="2"/>
      <c r="AA4" s="2"/>
    </row>
    <row r="5" ht="28.5" customHeight="1">
      <c r="A5" s="9" t="s">
        <v>5</v>
      </c>
      <c r="B5" s="15" t="s">
        <v>6</v>
      </c>
      <c r="C5" s="16"/>
      <c r="D5" s="16"/>
      <c r="E5" s="2"/>
      <c r="F5" s="2"/>
      <c r="G5" s="2"/>
      <c r="H5" s="2"/>
      <c r="I5" s="2"/>
      <c r="J5" s="2"/>
      <c r="K5" s="2"/>
      <c r="L5" s="2"/>
      <c r="M5" s="2"/>
      <c r="N5" s="2"/>
      <c r="O5" s="2"/>
      <c r="P5" s="2"/>
      <c r="Q5" s="2"/>
      <c r="R5" s="2"/>
      <c r="S5" s="2"/>
      <c r="T5" s="2"/>
      <c r="U5" s="2"/>
      <c r="V5" s="2"/>
      <c r="W5" s="2"/>
      <c r="X5" s="2"/>
      <c r="Y5" s="2"/>
      <c r="Z5" s="2"/>
      <c r="AA5" s="2"/>
    </row>
    <row r="6" ht="14.25" customHeight="1">
      <c r="A6" s="2"/>
      <c r="B6" s="2"/>
      <c r="C6" s="2"/>
      <c r="D6" s="2"/>
      <c r="E6" s="2"/>
      <c r="F6" s="2"/>
      <c r="G6" s="2"/>
      <c r="H6" s="2"/>
      <c r="I6" s="2"/>
      <c r="J6" s="2"/>
      <c r="K6" s="2"/>
      <c r="L6" s="2"/>
      <c r="M6" s="2"/>
      <c r="N6" s="2"/>
      <c r="O6" s="2"/>
      <c r="P6" s="2"/>
      <c r="Q6" s="2"/>
      <c r="R6" s="2"/>
      <c r="S6" s="2"/>
      <c r="T6" s="2"/>
      <c r="U6" s="2"/>
      <c r="V6" s="2"/>
      <c r="W6" s="2"/>
      <c r="X6" s="2"/>
      <c r="Y6" s="2"/>
      <c r="Z6" s="2"/>
      <c r="AA6" s="2"/>
    </row>
    <row r="7" ht="14.25" customHeight="1">
      <c r="A7" s="2"/>
      <c r="B7" s="2"/>
      <c r="C7" s="2"/>
      <c r="D7" s="2"/>
      <c r="E7" s="2"/>
      <c r="F7" s="2"/>
      <c r="G7" s="2"/>
      <c r="H7" s="2"/>
      <c r="I7" s="2"/>
      <c r="J7" s="2"/>
      <c r="K7" s="2"/>
      <c r="L7" s="2"/>
      <c r="M7" s="2"/>
      <c r="N7" s="2"/>
      <c r="O7" s="2"/>
      <c r="P7" s="2"/>
      <c r="Q7" s="2"/>
      <c r="R7" s="2"/>
      <c r="S7" s="2"/>
      <c r="T7" s="2"/>
      <c r="U7" s="2"/>
      <c r="V7" s="2"/>
      <c r="W7" s="2"/>
      <c r="X7" s="2"/>
      <c r="Y7" s="2"/>
      <c r="Z7" s="2"/>
      <c r="AA7" s="2"/>
    </row>
    <row r="8" ht="54.0" customHeight="1">
      <c r="A8" s="17" t="s">
        <v>7</v>
      </c>
      <c r="B8" s="18" t="s">
        <v>8</v>
      </c>
      <c r="C8" s="18" t="s">
        <v>9</v>
      </c>
      <c r="D8" s="17" t="s">
        <v>10</v>
      </c>
      <c r="E8" s="19" t="s">
        <v>11</v>
      </c>
      <c r="F8" s="18" t="s">
        <v>12</v>
      </c>
      <c r="G8" s="17" t="s">
        <v>13</v>
      </c>
      <c r="H8" s="17" t="s">
        <v>14</v>
      </c>
      <c r="I8" s="18" t="s">
        <v>15</v>
      </c>
      <c r="J8" s="17" t="s">
        <v>16</v>
      </c>
      <c r="K8" s="18" t="s">
        <v>17</v>
      </c>
      <c r="L8" s="18" t="s">
        <v>18</v>
      </c>
      <c r="M8" s="18" t="s">
        <v>19</v>
      </c>
      <c r="N8" s="17" t="s">
        <v>20</v>
      </c>
      <c r="O8" s="17" t="s">
        <v>21</v>
      </c>
      <c r="P8" s="18" t="s">
        <v>22</v>
      </c>
      <c r="Q8" s="2"/>
      <c r="R8" s="2"/>
      <c r="S8" s="2"/>
      <c r="T8" s="2"/>
      <c r="U8" s="2"/>
      <c r="V8" s="2"/>
      <c r="W8" s="2"/>
      <c r="X8" s="2"/>
      <c r="Y8" s="2"/>
      <c r="Z8" s="2"/>
      <c r="AA8" s="2"/>
    </row>
    <row r="9" ht="60.0" customHeight="1">
      <c r="A9" s="20" t="s">
        <v>23</v>
      </c>
      <c r="B9" s="21" t="s">
        <v>24</v>
      </c>
      <c r="C9" s="20" t="s">
        <v>25</v>
      </c>
      <c r="D9" s="22" t="s">
        <v>26</v>
      </c>
      <c r="E9" s="23" t="s">
        <v>27</v>
      </c>
      <c r="F9" s="63" t="s">
        <v>35</v>
      </c>
      <c r="G9" s="25">
        <v>0.001</v>
      </c>
      <c r="H9" s="26">
        <f>I9*G9</f>
        <v>421.4046823</v>
      </c>
      <c r="I9" s="26">
        <f>(N9/M9)*1000</f>
        <v>421404.6823</v>
      </c>
      <c r="J9" s="27" t="s">
        <v>29</v>
      </c>
      <c r="K9" s="26">
        <f>sum(I9/3)/6</f>
        <v>23411.37124</v>
      </c>
      <c r="L9" s="28">
        <v>8.54</v>
      </c>
      <c r="M9" s="28">
        <v>5.98</v>
      </c>
      <c r="N9" s="29">
        <f>O9*0.7</f>
        <v>2520</v>
      </c>
      <c r="O9" s="30">
        <v>3600.0</v>
      </c>
      <c r="P9" s="24" t="s">
        <v>36</v>
      </c>
      <c r="Q9" s="31"/>
      <c r="R9" s="2"/>
      <c r="S9" s="2"/>
      <c r="T9" s="2"/>
      <c r="U9" s="2"/>
      <c r="V9" s="2"/>
      <c r="W9" s="2"/>
      <c r="X9" s="2"/>
      <c r="Y9" s="2"/>
      <c r="Z9" s="2"/>
      <c r="AA9" s="2"/>
    </row>
    <row r="10" ht="60.0" customHeight="1">
      <c r="A10" s="32"/>
      <c r="B10" s="32"/>
      <c r="C10" s="32"/>
      <c r="D10" s="32"/>
      <c r="E10" s="32"/>
      <c r="F10" s="63" t="s">
        <v>37</v>
      </c>
      <c r="G10" s="32"/>
      <c r="H10" s="32"/>
      <c r="I10" s="32"/>
      <c r="J10" s="32"/>
      <c r="K10" s="32"/>
      <c r="L10" s="32"/>
      <c r="M10" s="32"/>
      <c r="N10" s="32"/>
      <c r="O10" s="32"/>
      <c r="P10" s="32"/>
      <c r="Q10" s="31"/>
      <c r="R10" s="33"/>
      <c r="S10" s="33"/>
      <c r="T10" s="2"/>
      <c r="U10" s="2"/>
      <c r="V10" s="2"/>
      <c r="W10" s="2"/>
      <c r="X10" s="2"/>
      <c r="Y10" s="2"/>
      <c r="Z10" s="2"/>
      <c r="AA10" s="2"/>
    </row>
    <row r="11" ht="60.0" customHeight="1">
      <c r="A11" s="32"/>
      <c r="B11" s="32"/>
      <c r="C11" s="32"/>
      <c r="D11" s="34"/>
      <c r="E11" s="34"/>
      <c r="F11" s="63" t="s">
        <v>38</v>
      </c>
      <c r="G11" s="32"/>
      <c r="H11" s="32"/>
      <c r="I11" s="32"/>
      <c r="J11" s="32"/>
      <c r="K11" s="32"/>
      <c r="L11" s="32"/>
      <c r="M11" s="32"/>
      <c r="N11" s="34"/>
      <c r="O11" s="32"/>
      <c r="P11" s="34"/>
      <c r="Q11" s="31"/>
      <c r="R11" s="33"/>
      <c r="S11" s="2"/>
      <c r="T11" s="2"/>
      <c r="U11" s="2"/>
      <c r="V11" s="2"/>
      <c r="W11" s="2"/>
      <c r="X11" s="2"/>
      <c r="Y11" s="2"/>
      <c r="Z11" s="2"/>
      <c r="AA11" s="2"/>
    </row>
    <row r="12" ht="60.0" customHeight="1">
      <c r="A12" s="32"/>
      <c r="B12" s="32"/>
      <c r="C12" s="32"/>
      <c r="D12" s="22" t="s">
        <v>31</v>
      </c>
      <c r="E12" s="23" t="s">
        <v>27</v>
      </c>
      <c r="F12" s="63" t="s">
        <v>35</v>
      </c>
      <c r="G12" s="25">
        <v>0.001</v>
      </c>
      <c r="H12" s="26">
        <f>I12*G12</f>
        <v>280.9364548</v>
      </c>
      <c r="I12" s="26">
        <f>(N12/M12)*1000</f>
        <v>280936.4548</v>
      </c>
      <c r="J12" s="27" t="s">
        <v>29</v>
      </c>
      <c r="K12" s="26">
        <f>sum(I12/3)/6</f>
        <v>15607.58082</v>
      </c>
      <c r="L12" s="28">
        <v>8.54</v>
      </c>
      <c r="M12" s="28">
        <v>5.98</v>
      </c>
      <c r="N12" s="29">
        <f>O12*0.7</f>
        <v>1680</v>
      </c>
      <c r="O12" s="30">
        <v>2400.0</v>
      </c>
      <c r="P12" s="24" t="s">
        <v>39</v>
      </c>
      <c r="Q12" s="31"/>
      <c r="R12" s="2"/>
      <c r="S12" s="2"/>
      <c r="T12" s="2"/>
      <c r="U12" s="2"/>
      <c r="V12" s="2"/>
      <c r="W12" s="2"/>
      <c r="X12" s="2"/>
      <c r="Y12" s="2"/>
      <c r="Z12" s="2"/>
      <c r="AA12" s="2"/>
    </row>
    <row r="13" ht="60.0" customHeight="1">
      <c r="A13" s="32"/>
      <c r="B13" s="32"/>
      <c r="C13" s="32"/>
      <c r="D13" s="32"/>
      <c r="E13" s="32"/>
      <c r="F13" s="63" t="s">
        <v>37</v>
      </c>
      <c r="G13" s="32"/>
      <c r="H13" s="32"/>
      <c r="I13" s="32"/>
      <c r="J13" s="32"/>
      <c r="K13" s="32"/>
      <c r="L13" s="32"/>
      <c r="M13" s="32"/>
      <c r="N13" s="32"/>
      <c r="O13" s="32"/>
      <c r="P13" s="32"/>
      <c r="Q13" s="31"/>
      <c r="R13" s="2"/>
      <c r="S13" s="2"/>
      <c r="T13" s="2"/>
      <c r="U13" s="2"/>
      <c r="V13" s="2"/>
      <c r="W13" s="2"/>
      <c r="X13" s="2"/>
      <c r="Y13" s="2"/>
      <c r="Z13" s="2"/>
      <c r="AA13" s="2"/>
    </row>
    <row r="14" ht="60.0" customHeight="1">
      <c r="A14" s="32"/>
      <c r="B14" s="32"/>
      <c r="C14" s="32"/>
      <c r="D14" s="34"/>
      <c r="E14" s="34"/>
      <c r="F14" s="63" t="s">
        <v>38</v>
      </c>
      <c r="G14" s="32"/>
      <c r="H14" s="32"/>
      <c r="I14" s="32"/>
      <c r="J14" s="32"/>
      <c r="K14" s="32"/>
      <c r="L14" s="32"/>
      <c r="M14" s="32"/>
      <c r="N14" s="34"/>
      <c r="O14" s="32"/>
      <c r="P14" s="34"/>
      <c r="Q14" s="31"/>
      <c r="R14" s="2"/>
      <c r="S14" s="2"/>
      <c r="T14" s="2"/>
      <c r="U14" s="2"/>
      <c r="V14" s="2"/>
      <c r="W14" s="2"/>
      <c r="X14" s="2"/>
      <c r="Y14" s="2"/>
      <c r="Z14" s="2"/>
      <c r="AA14" s="2"/>
    </row>
    <row r="15" ht="60.0" customHeight="1">
      <c r="A15" s="32"/>
      <c r="B15" s="21" t="s">
        <v>24</v>
      </c>
      <c r="C15" s="20" t="s">
        <v>32</v>
      </c>
      <c r="D15" s="22" t="s">
        <v>26</v>
      </c>
      <c r="E15" s="23" t="s">
        <v>27</v>
      </c>
      <c r="F15" s="63" t="s">
        <v>35</v>
      </c>
      <c r="G15" s="25">
        <v>0.001</v>
      </c>
      <c r="H15" s="26">
        <f>I15*G15</f>
        <v>3090.301003</v>
      </c>
      <c r="I15" s="26">
        <f>(N15/M15)*1000</f>
        <v>3090301.003</v>
      </c>
      <c r="J15" s="27" t="s">
        <v>29</v>
      </c>
      <c r="K15" s="26">
        <f>sum(I15/3)/6</f>
        <v>171683.3891</v>
      </c>
      <c r="L15" s="28">
        <v>8.54</v>
      </c>
      <c r="M15" s="28">
        <v>5.98</v>
      </c>
      <c r="N15" s="29">
        <f>O15*0.7</f>
        <v>18480</v>
      </c>
      <c r="O15" s="30">
        <v>26400.0</v>
      </c>
      <c r="P15" s="24" t="s">
        <v>39</v>
      </c>
      <c r="Q15" s="31"/>
      <c r="R15" s="2"/>
      <c r="S15" s="2"/>
      <c r="T15" s="2"/>
      <c r="U15" s="2"/>
      <c r="V15" s="2"/>
      <c r="W15" s="2"/>
      <c r="X15" s="2"/>
      <c r="Y15" s="2"/>
      <c r="Z15" s="2"/>
      <c r="AA15" s="2"/>
    </row>
    <row r="16" ht="60.0" customHeight="1">
      <c r="A16" s="32"/>
      <c r="B16" s="32"/>
      <c r="C16" s="32"/>
      <c r="D16" s="32"/>
      <c r="E16" s="32"/>
      <c r="F16" s="63" t="s">
        <v>37</v>
      </c>
      <c r="G16" s="32"/>
      <c r="H16" s="32"/>
      <c r="I16" s="32"/>
      <c r="J16" s="32"/>
      <c r="K16" s="32"/>
      <c r="L16" s="32"/>
      <c r="M16" s="32"/>
      <c r="N16" s="32"/>
      <c r="O16" s="32"/>
      <c r="P16" s="32"/>
      <c r="Q16" s="31"/>
      <c r="R16" s="2"/>
      <c r="S16" s="2"/>
      <c r="T16" s="2"/>
      <c r="U16" s="2"/>
      <c r="V16" s="2"/>
      <c r="W16" s="2"/>
      <c r="X16" s="2"/>
      <c r="Y16" s="2"/>
      <c r="Z16" s="2"/>
      <c r="AA16" s="2"/>
    </row>
    <row r="17" ht="60.0" customHeight="1">
      <c r="A17" s="32"/>
      <c r="B17" s="32"/>
      <c r="C17" s="32"/>
      <c r="D17" s="32"/>
      <c r="E17" s="32"/>
      <c r="F17" s="63" t="s">
        <v>38</v>
      </c>
      <c r="G17" s="32"/>
      <c r="H17" s="32"/>
      <c r="I17" s="32"/>
      <c r="J17" s="32"/>
      <c r="K17" s="32"/>
      <c r="L17" s="32"/>
      <c r="M17" s="32"/>
      <c r="N17" s="32"/>
      <c r="O17" s="32"/>
      <c r="P17" s="32"/>
      <c r="Q17" s="31"/>
      <c r="R17" s="35"/>
      <c r="S17" s="2"/>
      <c r="T17" s="2"/>
      <c r="U17" s="2"/>
      <c r="V17" s="2"/>
      <c r="W17" s="2"/>
      <c r="X17" s="2"/>
      <c r="Y17" s="2"/>
      <c r="Z17" s="2"/>
      <c r="AA17" s="2"/>
    </row>
    <row r="18" ht="60.0" customHeight="1">
      <c r="A18" s="32"/>
      <c r="B18" s="32"/>
      <c r="C18" s="32"/>
      <c r="D18" s="34"/>
      <c r="E18" s="34"/>
      <c r="F18" s="63" t="s">
        <v>40</v>
      </c>
      <c r="G18" s="32"/>
      <c r="H18" s="32"/>
      <c r="I18" s="32"/>
      <c r="J18" s="32"/>
      <c r="K18" s="32"/>
      <c r="L18" s="32"/>
      <c r="M18" s="32"/>
      <c r="N18" s="34"/>
      <c r="O18" s="32"/>
      <c r="P18" s="34"/>
      <c r="Q18" s="31"/>
      <c r="R18" s="35"/>
      <c r="S18" s="2"/>
      <c r="T18" s="2"/>
      <c r="U18" s="2"/>
      <c r="V18" s="2"/>
      <c r="W18" s="2"/>
      <c r="X18" s="2"/>
      <c r="Y18" s="2"/>
      <c r="Z18" s="2"/>
      <c r="AA18" s="2"/>
    </row>
    <row r="19" ht="60.0" customHeight="1">
      <c r="A19" s="32"/>
      <c r="B19" s="32"/>
      <c r="C19" s="32"/>
      <c r="D19" s="22" t="s">
        <v>31</v>
      </c>
      <c r="E19" s="36" t="s">
        <v>33</v>
      </c>
      <c r="F19" s="63" t="s">
        <v>35</v>
      </c>
      <c r="G19" s="25">
        <v>0.001</v>
      </c>
      <c r="H19" s="26">
        <f>I19*G19</f>
        <v>2060.200669</v>
      </c>
      <c r="I19" s="26">
        <f>(N19/M19)*1000</f>
        <v>2060200.669</v>
      </c>
      <c r="J19" s="27" t="s">
        <v>29</v>
      </c>
      <c r="K19" s="26">
        <f>sum(I19/3)/6</f>
        <v>114455.5927</v>
      </c>
      <c r="L19" s="28">
        <v>8.54</v>
      </c>
      <c r="M19" s="28">
        <v>5.98</v>
      </c>
      <c r="N19" s="29">
        <f>O19*0.7</f>
        <v>12320</v>
      </c>
      <c r="O19" s="30">
        <v>17600.0</v>
      </c>
      <c r="P19" s="24" t="s">
        <v>39</v>
      </c>
      <c r="Q19" s="31"/>
      <c r="R19" s="2"/>
      <c r="S19" s="2"/>
      <c r="T19" s="2"/>
      <c r="U19" s="2"/>
      <c r="V19" s="2"/>
      <c r="W19" s="2"/>
      <c r="X19" s="2"/>
      <c r="Y19" s="2"/>
      <c r="Z19" s="2"/>
      <c r="AA19" s="2"/>
    </row>
    <row r="20" ht="60.0" customHeight="1">
      <c r="A20" s="32"/>
      <c r="B20" s="32"/>
      <c r="C20" s="32"/>
      <c r="D20" s="32"/>
      <c r="E20" s="32"/>
      <c r="F20" s="63" t="s">
        <v>37</v>
      </c>
      <c r="G20" s="32"/>
      <c r="H20" s="32"/>
      <c r="I20" s="32"/>
      <c r="J20" s="32"/>
      <c r="K20" s="32"/>
      <c r="L20" s="32"/>
      <c r="M20" s="32"/>
      <c r="N20" s="32"/>
      <c r="O20" s="32"/>
      <c r="P20" s="32"/>
      <c r="Q20" s="31"/>
      <c r="R20" s="2"/>
      <c r="S20" s="2"/>
      <c r="T20" s="2"/>
      <c r="U20" s="2"/>
      <c r="V20" s="2"/>
      <c r="W20" s="2"/>
      <c r="X20" s="2"/>
      <c r="Y20" s="2"/>
      <c r="Z20" s="2"/>
      <c r="AA20" s="2"/>
    </row>
    <row r="21" ht="60.0" customHeight="1">
      <c r="A21" s="32"/>
      <c r="B21" s="32"/>
      <c r="C21" s="32"/>
      <c r="D21" s="32"/>
      <c r="E21" s="32"/>
      <c r="F21" s="63" t="s">
        <v>38</v>
      </c>
      <c r="G21" s="32"/>
      <c r="H21" s="32"/>
      <c r="I21" s="32"/>
      <c r="J21" s="32"/>
      <c r="K21" s="32"/>
      <c r="L21" s="32"/>
      <c r="M21" s="32"/>
      <c r="N21" s="32"/>
      <c r="O21" s="32"/>
      <c r="P21" s="32"/>
      <c r="Q21" s="31"/>
      <c r="R21" s="2"/>
      <c r="S21" s="2"/>
      <c r="T21" s="2"/>
      <c r="U21" s="2"/>
      <c r="V21" s="2"/>
      <c r="W21" s="2"/>
      <c r="X21" s="2"/>
      <c r="Y21" s="2"/>
      <c r="Z21" s="2"/>
      <c r="AA21" s="2"/>
    </row>
    <row r="22" ht="60.0" customHeight="1">
      <c r="A22" s="32"/>
      <c r="B22" s="32"/>
      <c r="C22" s="32"/>
      <c r="D22" s="34"/>
      <c r="E22" s="34"/>
      <c r="F22" s="63" t="s">
        <v>40</v>
      </c>
      <c r="G22" s="32"/>
      <c r="H22" s="32"/>
      <c r="I22" s="32"/>
      <c r="J22" s="32"/>
      <c r="K22" s="32"/>
      <c r="L22" s="32"/>
      <c r="M22" s="32"/>
      <c r="N22" s="34"/>
      <c r="O22" s="32"/>
      <c r="P22" s="34"/>
      <c r="Q22" s="31"/>
      <c r="R22" s="2"/>
      <c r="S22" s="2"/>
      <c r="T22" s="2"/>
      <c r="U22" s="2"/>
      <c r="V22" s="2"/>
      <c r="W22" s="2"/>
      <c r="X22" s="2"/>
      <c r="Y22" s="2"/>
      <c r="Z22" s="2"/>
      <c r="AA22" s="2"/>
    </row>
    <row r="23" ht="24.0" customHeight="1">
      <c r="A23" s="37"/>
      <c r="B23" s="38"/>
      <c r="C23" s="37"/>
      <c r="D23" s="39"/>
      <c r="E23" s="40"/>
      <c r="F23" s="39"/>
      <c r="G23" s="41">
        <v>0.001</v>
      </c>
      <c r="H23" s="42">
        <f t="shared" ref="H23:I23" si="1">sum(H9:H17)</f>
        <v>3792.64214</v>
      </c>
      <c r="I23" s="42">
        <f t="shared" si="1"/>
        <v>3792642.14</v>
      </c>
      <c r="J23" s="43"/>
      <c r="K23" s="42">
        <f>sum(K9:K17)</f>
        <v>210702.3411</v>
      </c>
      <c r="L23" s="44">
        <f>L9 </f>
        <v>8.54</v>
      </c>
      <c r="M23" s="44">
        <f>sum(M9:M18)</f>
        <v>17.94</v>
      </c>
      <c r="N23" s="45">
        <f t="shared" ref="N23:O23" si="2">sum(N9:N22)</f>
        <v>35000</v>
      </c>
      <c r="O23" s="45">
        <f t="shared" si="2"/>
        <v>50000</v>
      </c>
      <c r="P23" s="46"/>
      <c r="Q23" s="2"/>
      <c r="R23" s="2"/>
      <c r="S23" s="2"/>
      <c r="T23" s="2"/>
      <c r="U23" s="2"/>
      <c r="V23" s="2"/>
      <c r="W23" s="2"/>
      <c r="X23" s="2"/>
      <c r="Y23" s="2"/>
      <c r="Z23" s="2"/>
      <c r="AA23" s="2"/>
    </row>
    <row r="24" ht="14.25" customHeight="1">
      <c r="A24" s="2"/>
      <c r="B24" s="47"/>
      <c r="C24" s="2"/>
      <c r="D24" s="48"/>
      <c r="E24" s="48"/>
      <c r="F24" s="48"/>
      <c r="G24" s="49"/>
      <c r="H24" s="49"/>
      <c r="I24" s="49"/>
      <c r="J24" s="48"/>
      <c r="K24" s="48"/>
      <c r="L24" s="48"/>
      <c r="M24" s="48"/>
      <c r="N24" s="50"/>
      <c r="O24" s="2"/>
      <c r="P24" s="2"/>
      <c r="Q24" s="2"/>
      <c r="R24" s="2"/>
      <c r="S24" s="2"/>
      <c r="T24" s="2"/>
      <c r="U24" s="2"/>
      <c r="V24" s="2"/>
      <c r="W24" s="2"/>
      <c r="X24" s="2"/>
      <c r="Y24" s="2"/>
      <c r="Z24" s="2"/>
      <c r="AA24" s="2"/>
    </row>
    <row r="25" ht="31.5" customHeight="1">
      <c r="A25" s="51" t="s">
        <v>34</v>
      </c>
      <c r="H25" s="52"/>
      <c r="I25" s="2"/>
      <c r="J25" s="53"/>
      <c r="K25" s="53"/>
      <c r="L25" s="53"/>
      <c r="M25" s="53"/>
      <c r="N25" s="53"/>
      <c r="O25" s="53"/>
      <c r="P25" s="2"/>
      <c r="Q25" s="2"/>
      <c r="R25" s="2"/>
      <c r="S25" s="2"/>
      <c r="T25" s="2"/>
      <c r="U25" s="54"/>
      <c r="V25" s="2"/>
      <c r="W25" s="2"/>
      <c r="X25" s="2"/>
      <c r="Y25" s="2"/>
      <c r="Z25" s="2"/>
      <c r="AA25" s="2"/>
    </row>
    <row r="26" ht="14.25" customHeight="1">
      <c r="A26" s="55"/>
      <c r="B26" s="55"/>
      <c r="C26" s="55"/>
      <c r="D26" s="55"/>
      <c r="E26" s="55"/>
      <c r="F26" s="55"/>
      <c r="G26" s="55"/>
      <c r="H26" s="56"/>
      <c r="I26" s="2"/>
      <c r="J26" s="2"/>
      <c r="K26" s="2"/>
      <c r="L26" s="53"/>
      <c r="M26" s="53"/>
      <c r="N26" s="53"/>
      <c r="O26" s="53"/>
      <c r="P26" s="2"/>
      <c r="Q26" s="2"/>
      <c r="R26" s="2"/>
      <c r="S26" s="2"/>
      <c r="T26" s="2"/>
      <c r="U26" s="2"/>
      <c r="V26" s="2"/>
      <c r="W26" s="2"/>
      <c r="X26" s="2"/>
      <c r="Y26" s="2"/>
      <c r="Z26" s="2"/>
      <c r="AA26" s="2"/>
    </row>
    <row r="27" ht="14.25" customHeight="1">
      <c r="A27" s="2"/>
      <c r="B27" s="2"/>
      <c r="C27" s="2"/>
      <c r="D27" s="57"/>
      <c r="E27" s="53"/>
      <c r="F27" s="57"/>
      <c r="G27" s="2"/>
      <c r="H27" s="2"/>
      <c r="I27" s="2"/>
      <c r="J27" s="2"/>
      <c r="K27" s="2"/>
      <c r="L27" s="53"/>
      <c r="M27" s="53"/>
      <c r="N27" s="53"/>
      <c r="O27" s="53"/>
      <c r="P27" s="2"/>
      <c r="Q27" s="2"/>
      <c r="R27" s="2"/>
      <c r="S27" s="2"/>
      <c r="T27" s="2"/>
      <c r="U27" s="2"/>
      <c r="V27" s="2"/>
      <c r="W27" s="2"/>
      <c r="X27" s="2"/>
      <c r="Y27" s="2"/>
      <c r="Z27" s="2"/>
      <c r="AA27" s="2"/>
    </row>
    <row r="28" ht="14.25" customHeight="1">
      <c r="A28" s="2"/>
      <c r="B28" s="2"/>
      <c r="C28" s="2"/>
      <c r="D28" s="58"/>
      <c r="E28" s="53"/>
      <c r="F28" s="58"/>
      <c r="G28" s="2"/>
      <c r="H28" s="2"/>
      <c r="I28" s="2"/>
      <c r="J28" s="2"/>
      <c r="K28" s="2"/>
      <c r="L28" s="2"/>
      <c r="M28" s="2"/>
      <c r="N28" s="2"/>
      <c r="O28" s="2"/>
      <c r="P28" s="2"/>
      <c r="Q28" s="2"/>
      <c r="R28" s="2"/>
      <c r="S28" s="2"/>
      <c r="T28" s="2"/>
      <c r="U28" s="2"/>
      <c r="V28" s="2"/>
      <c r="W28" s="2"/>
      <c r="X28" s="2"/>
      <c r="Y28" s="2"/>
      <c r="Z28" s="2"/>
      <c r="AA28" s="2"/>
    </row>
    <row r="29" ht="14.25" customHeight="1">
      <c r="A29" s="2"/>
      <c r="B29" s="2"/>
      <c r="C29" s="2"/>
      <c r="D29" s="16"/>
      <c r="E29" s="2"/>
      <c r="F29" s="16"/>
      <c r="G29" s="2"/>
      <c r="H29" s="2"/>
      <c r="I29" s="2"/>
      <c r="J29" s="2"/>
      <c r="K29" s="2"/>
      <c r="L29" s="2"/>
      <c r="M29" s="2"/>
      <c r="N29" s="2"/>
      <c r="O29" s="2"/>
      <c r="P29" s="2"/>
      <c r="Q29" s="2"/>
      <c r="R29" s="2"/>
      <c r="S29" s="2"/>
      <c r="T29" s="2"/>
      <c r="U29" s="2"/>
      <c r="V29" s="2"/>
      <c r="W29" s="2"/>
      <c r="X29" s="2"/>
      <c r="Y29" s="2"/>
      <c r="Z29" s="2"/>
      <c r="AA29" s="2"/>
    </row>
    <row r="30" ht="14.25" customHeight="1">
      <c r="A30" s="2"/>
      <c r="B30" s="2"/>
      <c r="C30" s="2"/>
      <c r="D30" s="2"/>
      <c r="E30" s="2"/>
      <c r="F30" s="2"/>
      <c r="G30" s="2"/>
      <c r="H30" s="2"/>
      <c r="I30" s="2"/>
      <c r="J30" s="2"/>
      <c r="K30" s="2"/>
      <c r="L30" s="2"/>
      <c r="M30" s="2"/>
      <c r="N30" s="54"/>
      <c r="O30" s="59"/>
      <c r="P30" s="2"/>
      <c r="Q30" s="2"/>
      <c r="R30" s="2"/>
      <c r="S30" s="2"/>
      <c r="T30" s="2"/>
      <c r="U30" s="2"/>
      <c r="V30" s="2"/>
      <c r="W30" s="2"/>
      <c r="X30" s="2"/>
      <c r="Y30" s="2"/>
      <c r="Z30" s="2"/>
      <c r="AA30" s="2"/>
    </row>
    <row r="31" ht="14.25" customHeight="1">
      <c r="A31" s="2"/>
      <c r="B31" s="2"/>
      <c r="C31" s="2"/>
      <c r="D31" s="2"/>
      <c r="E31" s="2"/>
      <c r="F31" s="2"/>
      <c r="G31" s="2"/>
      <c r="H31" s="2"/>
      <c r="I31" s="2"/>
      <c r="J31" s="2"/>
      <c r="K31" s="2"/>
      <c r="L31" s="2"/>
      <c r="M31" s="2"/>
      <c r="N31" s="54"/>
      <c r="O31" s="59"/>
      <c r="P31" s="2"/>
      <c r="Q31" s="2"/>
      <c r="R31" s="2"/>
      <c r="S31" s="2"/>
      <c r="T31" s="2"/>
      <c r="U31" s="2"/>
      <c r="V31" s="2"/>
      <c r="W31" s="2"/>
      <c r="X31" s="2"/>
      <c r="Y31" s="2"/>
      <c r="Z31" s="2"/>
      <c r="AA31" s="2"/>
    </row>
    <row r="32" ht="14.25" customHeight="1">
      <c r="A32" s="60"/>
      <c r="B32" s="2"/>
      <c r="C32" s="60"/>
      <c r="D32" s="2"/>
      <c r="E32" s="2"/>
      <c r="F32" s="2"/>
      <c r="G32" s="2"/>
      <c r="H32" s="2"/>
      <c r="I32" s="2"/>
      <c r="J32" s="2"/>
      <c r="K32" s="2"/>
      <c r="L32" s="2"/>
      <c r="M32" s="2"/>
      <c r="N32" s="2"/>
      <c r="O32" s="2"/>
      <c r="P32" s="2"/>
      <c r="Q32" s="2"/>
      <c r="R32" s="2"/>
      <c r="S32" s="2"/>
      <c r="T32" s="2"/>
      <c r="U32" s="2"/>
      <c r="V32" s="2"/>
      <c r="W32" s="2"/>
      <c r="X32" s="2"/>
      <c r="Y32" s="2"/>
      <c r="Z32" s="2"/>
      <c r="AA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4.25" customHeight="1">
      <c r="A40" s="60"/>
      <c r="B40" s="2"/>
      <c r="C40" s="60"/>
      <c r="D40" s="2"/>
      <c r="E40" s="2"/>
      <c r="F40" s="2"/>
      <c r="G40" s="2"/>
      <c r="H40" s="2"/>
      <c r="I40" s="2"/>
      <c r="J40" s="2"/>
      <c r="K40" s="2"/>
      <c r="L40" s="2"/>
      <c r="M40" s="2"/>
      <c r="N40" s="2"/>
      <c r="O40" s="2"/>
      <c r="P40" s="2"/>
      <c r="Q40" s="2"/>
      <c r="R40" s="2"/>
      <c r="S40" s="2"/>
      <c r="T40" s="2"/>
      <c r="U40" s="2"/>
      <c r="V40" s="2"/>
      <c r="W40" s="2"/>
      <c r="X40" s="2"/>
      <c r="Y40" s="2"/>
      <c r="Z40" s="2"/>
      <c r="AA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60"/>
      <c r="B48" s="2"/>
      <c r="C48" s="60"/>
      <c r="D48" s="2"/>
      <c r="E48" s="2"/>
      <c r="F48" s="2"/>
      <c r="G48" s="2"/>
      <c r="H48" s="2"/>
      <c r="I48" s="2"/>
      <c r="J48" s="2"/>
      <c r="K48" s="2"/>
      <c r="L48" s="2"/>
      <c r="M48" s="2"/>
      <c r="N48" s="2"/>
      <c r="O48" s="2"/>
      <c r="P48" s="2"/>
      <c r="Q48" s="2"/>
      <c r="R48" s="2"/>
      <c r="S48" s="2"/>
      <c r="T48" s="2"/>
      <c r="U48" s="2"/>
      <c r="V48" s="2"/>
      <c r="W48" s="2"/>
      <c r="X48" s="2"/>
      <c r="Y48" s="2"/>
      <c r="Z48" s="2"/>
      <c r="AA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4.25" customHeight="1">
      <c r="A56" s="60"/>
      <c r="B56" s="2"/>
      <c r="C56" s="60"/>
      <c r="D56" s="2"/>
      <c r="E56" s="2"/>
      <c r="F56" s="2"/>
      <c r="G56" s="2"/>
      <c r="H56" s="2"/>
      <c r="I56" s="2"/>
      <c r="J56" s="2"/>
      <c r="K56" s="2"/>
      <c r="L56" s="2"/>
      <c r="M56" s="2"/>
      <c r="N56" s="2"/>
      <c r="O56" s="2"/>
      <c r="P56" s="2"/>
      <c r="Q56" s="2"/>
      <c r="R56" s="2"/>
      <c r="S56" s="2"/>
      <c r="T56" s="2"/>
      <c r="U56" s="2"/>
      <c r="V56" s="2"/>
      <c r="W56" s="2"/>
      <c r="X56" s="2"/>
      <c r="Y56" s="2"/>
      <c r="Z56" s="2"/>
      <c r="AA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61"/>
      <c r="B62" s="2"/>
      <c r="C62" s="61"/>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61"/>
      <c r="B63" s="2"/>
      <c r="C63" s="61"/>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61"/>
      <c r="B64" s="2"/>
      <c r="C64" s="61"/>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61"/>
      <c r="B65" s="2"/>
      <c r="C65" s="61"/>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61"/>
      <c r="B66" s="2"/>
      <c r="C66" s="61"/>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61"/>
      <c r="B67" s="2"/>
      <c r="C67" s="61"/>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61"/>
      <c r="B68" s="2"/>
      <c r="C68" s="61"/>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61"/>
      <c r="B69" s="2"/>
      <c r="C69" s="61"/>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61"/>
      <c r="B70" s="2"/>
      <c r="C70" s="61"/>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61"/>
      <c r="B71" s="2"/>
      <c r="C71" s="61"/>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61"/>
      <c r="B72" s="2"/>
      <c r="C72" s="61"/>
      <c r="D72" s="2"/>
      <c r="E72" s="2"/>
      <c r="F72" s="2"/>
      <c r="G72" s="2"/>
      <c r="H72" s="2"/>
      <c r="I72" s="2"/>
      <c r="J72" s="2"/>
      <c r="K72" s="62"/>
      <c r="L72" s="62"/>
      <c r="M72" s="62"/>
      <c r="N72" s="62"/>
      <c r="O72" s="62"/>
      <c r="P72" s="62"/>
      <c r="Q72" s="62"/>
      <c r="R72" s="62"/>
      <c r="S72" s="62"/>
      <c r="T72" s="62"/>
      <c r="U72" s="62"/>
      <c r="V72" s="62"/>
      <c r="W72" s="62"/>
      <c r="X72" s="62"/>
      <c r="Y72" s="62"/>
      <c r="Z72" s="62"/>
      <c r="AA72" s="62"/>
    </row>
    <row r="73"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ht="14.2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ht="14.25" customHeight="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sheetData>
  <mergeCells count="55">
    <mergeCell ref="B9:B14"/>
    <mergeCell ref="B15:B22"/>
    <mergeCell ref="H15:H18"/>
    <mergeCell ref="I15:I18"/>
    <mergeCell ref="J15:J18"/>
    <mergeCell ref="K15:K18"/>
    <mergeCell ref="D19:D22"/>
    <mergeCell ref="E19:E22"/>
    <mergeCell ref="G19:G22"/>
    <mergeCell ref="H19:H22"/>
    <mergeCell ref="I19:I22"/>
    <mergeCell ref="J19:J22"/>
    <mergeCell ref="L19:L22"/>
    <mergeCell ref="M19:M22"/>
    <mergeCell ref="N19:N22"/>
    <mergeCell ref="O19:O22"/>
    <mergeCell ref="P19:P22"/>
    <mergeCell ref="K19:K22"/>
    <mergeCell ref="A25:H26"/>
    <mergeCell ref="F2:K4"/>
    <mergeCell ref="A9:A22"/>
    <mergeCell ref="C9:C14"/>
    <mergeCell ref="E9:E11"/>
    <mergeCell ref="K12:K14"/>
    <mergeCell ref="C15:C22"/>
    <mergeCell ref="E15:E18"/>
    <mergeCell ref="H9:H11"/>
    <mergeCell ref="I9:I11"/>
    <mergeCell ref="J9:J11"/>
    <mergeCell ref="K9:K11"/>
    <mergeCell ref="L9:L11"/>
    <mergeCell ref="M9:M11"/>
    <mergeCell ref="N9:N11"/>
    <mergeCell ref="O9:O11"/>
    <mergeCell ref="P9:P11"/>
    <mergeCell ref="D12:D14"/>
    <mergeCell ref="E12:E14"/>
    <mergeCell ref="G12:G14"/>
    <mergeCell ref="H12:H14"/>
    <mergeCell ref="D9:D11"/>
    <mergeCell ref="D15:D18"/>
    <mergeCell ref="G9:G11"/>
    <mergeCell ref="G15:G18"/>
    <mergeCell ref="L15:L18"/>
    <mergeCell ref="M15:M18"/>
    <mergeCell ref="N15:N18"/>
    <mergeCell ref="O15:O18"/>
    <mergeCell ref="P15:P18"/>
    <mergeCell ref="I12:I14"/>
    <mergeCell ref="J12:J14"/>
    <mergeCell ref="L12:L14"/>
    <mergeCell ref="M12:M14"/>
    <mergeCell ref="N12:N14"/>
    <mergeCell ref="O12:O14"/>
    <mergeCell ref="P12:P14"/>
  </mergeCells>
  <drawing r:id="rId1"/>
</worksheet>
</file>