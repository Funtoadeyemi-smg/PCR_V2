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megan.cardoe\Downloads\"/>
    </mc:Choice>
  </mc:AlternateContent>
  <xr:revisionPtr revIDLastSave="0" documentId="13_ncr:1_{9C576502-C61F-4B23-8038-21E4B73C8B87}" xr6:coauthVersionLast="47" xr6:coauthVersionMax="47" xr10:uidLastSave="{00000000-0000-0000-0000-000000000000}"/>
  <bookViews>
    <workbookView xWindow="-110" yWindow="-110" windowWidth="19420" windowHeight="10300" xr2:uid="{00000000-000D-0000-FFFF-FFFF00000000}"/>
  </bookViews>
  <sheets>
    <sheet name="Media Pla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WY3xIOzj3D3WRa+yLTexV5JlAOr+qncqlNVm9EMvYfw="/>
    </ext>
  </extLst>
</workbook>
</file>

<file path=xl/calcChain.xml><?xml version="1.0" encoding="utf-8"?>
<calcChain xmlns="http://schemas.openxmlformats.org/spreadsheetml/2006/main">
  <c r="O18" i="1" l="1"/>
  <c r="N18" i="1"/>
  <c r="K18" i="1"/>
  <c r="I18" i="1"/>
  <c r="H18" i="1"/>
  <c r="O15" i="1"/>
  <c r="M15" i="1"/>
  <c r="I15" i="1" s="1"/>
  <c r="O12" i="1"/>
  <c r="K12" i="1"/>
  <c r="I12" i="1"/>
  <c r="H12" i="1"/>
  <c r="O9" i="1"/>
  <c r="I9" i="1"/>
  <c r="H9" i="1"/>
  <c r="B3" i="1"/>
  <c r="B4" i="1" s="1"/>
  <c r="K15" i="1" l="1"/>
  <c r="H15" i="1"/>
  <c r="K9" i="1"/>
</calcChain>
</file>

<file path=xl/sharedStrings.xml><?xml version="1.0" encoding="utf-8"?>
<sst xmlns="http://schemas.openxmlformats.org/spreadsheetml/2006/main" count="41" uniqueCount="34">
  <si>
    <t xml:space="preserve"> </t>
  </si>
  <si>
    <t>Campaign activation investment (Campaign gross cost):</t>
  </si>
  <si>
    <t>Net media spend:</t>
  </si>
  <si>
    <t>Total fees:</t>
  </si>
  <si>
    <t>PO number:</t>
  </si>
  <si>
    <t>Channel</t>
  </si>
  <si>
    <t>Audience Data Source</t>
  </si>
  <si>
    <t>Platform</t>
  </si>
  <si>
    <t>Focus</t>
  </si>
  <si>
    <t>Format &amp; placement</t>
  </si>
  <si>
    <t>Targeting segment</t>
  </si>
  <si>
    <t>Estimated CTR</t>
  </si>
  <si>
    <t>Estimated link clicks</t>
  </si>
  <si>
    <t>Estimated Impressions</t>
  </si>
  <si>
    <t>Estimated Frequency</t>
  </si>
  <si>
    <t>Estimated Reach</t>
  </si>
  <si>
    <t>Gross CPM</t>
  </si>
  <si>
    <t>Net CPM</t>
  </si>
  <si>
    <t>Net spend by platform</t>
  </si>
  <si>
    <t>Gross spend by channel / platform</t>
  </si>
  <si>
    <t>Flight duration</t>
  </si>
  <si>
    <t>Paid Social</t>
  </si>
  <si>
    <t>Boots First Party Data</t>
  </si>
  <si>
    <t>Meta (Facebook &amp; Instagram)</t>
  </si>
  <si>
    <t>Awareness</t>
  </si>
  <si>
    <t>Static / Carousel / Video 
(in-feed and Story, both 1x1 (or 4x5) and 9x16 to be supplied</t>
  </si>
  <si>
    <t>3 per week</t>
  </si>
  <si>
    <t>Sales</t>
  </si>
  <si>
    <t>TikTok</t>
  </si>
  <si>
    <t xml:space="preserve">Remarks: By agreeing to this media plan, you also agree to the media team optimising budget fluidly across channels and audiences where appropriate, and where optimisations are required to improve performance according to the briefs' KPIs and objectives, within the campaign flight duration.
</t>
  </si>
  <si>
    <t>Video</t>
  </si>
  <si>
    <t>[07/05/2025 - 03/07/2025]
8 weeks</t>
  </si>
  <si>
    <t xml:space="preserve">Current Calvin Klein Fragrance Shoppers (L12M)
Lapsed Calvin Klein Fragrance Shoppers (L12-24M)
All Fragrance Shoppers (L24M) excl. Current and Lapsed CK Shoppers
Fine Fragrance Propensity Model excl. Current and Lapsed CK Shoppers
Lapsed Fragrance Purchaser (L6M no fragrance purchase, but purchased &gt;£50 fragrances in L6-24M) excl. Brand Shoppers
Gifting Shoppers L24M
Bespoke Competitor List </t>
  </si>
  <si>
    <t>Audience360 - NCF Media Plan
Calvin Klein - Fragrance | Eternity Signatures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</si>
</sst>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Red]\-&quot;£&quot;#,##0"/>
    <numFmt numFmtId="164" formatCode="[$£]#,##0.00"/>
    <numFmt numFmtId="165" formatCode="[$£]#,##0"/>
    <numFmt numFmtId="166" formatCode="m/d/yyyy"/>
    <numFmt numFmtId="167" formatCode="&quot;£&quot;#,##0"/>
  </numFmts>
  <fonts count="15" x14ac:knownFonts="1">
    <font>
      <sz val="10"/>
      <color rgb="FF000000"/>
      <name val="Arial"/>
      <scheme val="minor"/>
    </font>
    <font>
      <sz val="11"/>
      <color theme="1"/>
      <name val="Montserrat"/>
    </font>
    <font>
      <b/>
      <sz val="11"/>
      <color theme="1"/>
      <name val="Montserrat"/>
    </font>
    <font>
      <b/>
      <sz val="17"/>
      <color theme="1"/>
      <name val="Montserrat"/>
    </font>
    <font>
      <sz val="10"/>
      <name val="Arial"/>
    </font>
    <font>
      <b/>
      <sz val="11"/>
      <color rgb="FFFFFFFF"/>
      <name val="Montserrat"/>
    </font>
    <font>
      <b/>
      <sz val="11"/>
      <color rgb="FF222222"/>
      <name val="Montserrat"/>
    </font>
    <font>
      <b/>
      <sz val="11"/>
      <color rgb="FF000000"/>
      <name val="Montserrat"/>
    </font>
    <font>
      <sz val="11"/>
      <color rgb="FF222222"/>
      <name val="Montserrat"/>
    </font>
    <font>
      <sz val="11"/>
      <color rgb="FF000000"/>
      <name val="Montserrat"/>
    </font>
    <font>
      <sz val="10"/>
      <color theme="1"/>
      <name val="Arial"/>
    </font>
    <font>
      <sz val="11"/>
      <color rgb="FFFFFFFF"/>
      <name val="Montserrat"/>
    </font>
    <font>
      <sz val="11"/>
      <color theme="0"/>
      <name val="Montserrat"/>
    </font>
    <font>
      <b/>
      <i/>
      <sz val="11"/>
      <color theme="1"/>
      <name val="Montserrat"/>
    </font>
    <font>
      <sz val="10"/>
      <color theme="1"/>
      <name val="Montserrat"/>
    </font>
  </fonts>
  <fills count="5">
    <fill>
      <patternFill patternType="none"/>
    </fill>
    <fill>
      <patternFill patternType="gray125"/>
    </fill>
    <fill>
      <patternFill patternType="solid">
        <fgColor theme="0"/>
        <bgColor theme="0"/>
      </patternFill>
    </fill>
    <fill>
      <patternFill patternType="solid">
        <fgColor rgb="FF002060"/>
        <bgColor rgb="FF002060"/>
      </patternFill>
    </fill>
    <fill>
      <patternFill patternType="solid">
        <fgColor rgb="FFFFFFFF"/>
        <bgColor rgb="FFFFFFFF"/>
      </patternFill>
    </fill>
  </fills>
  <borders count="16">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style="thin">
        <color rgb="FFFFFFFF"/>
      </top>
      <bottom style="thin">
        <color rgb="FFFFFFFF"/>
      </bottom>
      <diagonal/>
    </border>
    <border>
      <left/>
      <right style="thin">
        <color rgb="FFFFFFFF"/>
      </right>
      <top/>
      <bottom style="thin">
        <color rgb="FFFFFFFF"/>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FFFFFF"/>
      </right>
      <top style="thin">
        <color rgb="FFFFFFFF"/>
      </top>
      <bottom style="thin">
        <color rgb="FFFFFFFF"/>
      </bottom>
      <diagonal/>
    </border>
    <border>
      <left/>
      <right style="thin">
        <color rgb="FFFFFFFF"/>
      </right>
      <top style="thin">
        <color rgb="FFFFFFFF"/>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bottom/>
      <diagonal/>
    </border>
    <border>
      <left/>
      <right/>
      <top/>
      <bottom/>
      <diagonal/>
    </border>
    <border>
      <left/>
      <right/>
      <top/>
      <bottom/>
      <diagonal/>
    </border>
    <border>
      <left style="thin">
        <color rgb="FFFFFFFF"/>
      </left>
      <right style="thin">
        <color rgb="FFFFFFFF"/>
      </right>
      <top/>
      <bottom style="thin">
        <color rgb="FFFFFFFF"/>
      </bottom>
      <diagonal/>
    </border>
  </borders>
  <cellStyleXfs count="1">
    <xf numFmtId="0" fontId="0" fillId="0" borderId="0"/>
  </cellStyleXfs>
  <cellXfs count="50">
    <xf numFmtId="0" fontId="0" fillId="0" borderId="0" xfId="0"/>
    <xf numFmtId="0" fontId="1" fillId="2" borderId="1" xfId="0" applyFont="1" applyFill="1" applyBorder="1" applyAlignment="1">
      <alignment vertical="center" wrapText="1"/>
    </xf>
    <xf numFmtId="0" fontId="2" fillId="0" borderId="2" xfId="0" applyFont="1" applyBorder="1" applyAlignment="1">
      <alignment vertical="center" wrapText="1"/>
    </xf>
    <xf numFmtId="6" fontId="2" fillId="0" borderId="2" xfId="0" applyNumberFormat="1" applyFont="1" applyBorder="1" applyAlignment="1">
      <alignment horizontal="right"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 fillId="0" borderId="5" xfId="0" applyFont="1" applyBorder="1" applyAlignment="1">
      <alignment vertical="center" wrapText="1"/>
    </xf>
    <xf numFmtId="6" fontId="2" fillId="0" borderId="6" xfId="0" applyNumberFormat="1" applyFont="1" applyBorder="1" applyAlignment="1">
      <alignment horizontal="right"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49" fontId="2" fillId="0" borderId="6" xfId="0" applyNumberFormat="1" applyFont="1" applyBorder="1" applyAlignment="1">
      <alignment horizontal="right" vertical="center" wrapText="1"/>
    </xf>
    <xf numFmtId="0" fontId="5" fillId="3" borderId="2" xfId="0" applyFont="1" applyFill="1" applyBorder="1" applyAlignment="1">
      <alignment horizontal="center" vertical="center" wrapText="1"/>
    </xf>
    <xf numFmtId="166" fontId="1" fillId="2" borderId="1" xfId="0" applyNumberFormat="1" applyFont="1" applyFill="1" applyBorder="1" applyAlignment="1">
      <alignment vertical="center" wrapText="1"/>
    </xf>
    <xf numFmtId="164" fontId="1" fillId="2" borderId="1" xfId="0" applyNumberFormat="1" applyFont="1" applyFill="1" applyBorder="1" applyAlignment="1">
      <alignment vertical="center" wrapText="1"/>
    </xf>
    <xf numFmtId="0" fontId="8" fillId="3"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0" fillId="3" borderId="1" xfId="0" applyFont="1" applyFill="1" applyBorder="1" applyAlignment="1">
      <alignment horizontal="center" vertical="center"/>
    </xf>
    <xf numFmtId="10" fontId="11" fillId="3" borderId="1" xfId="0" applyNumberFormat="1" applyFont="1" applyFill="1" applyBorder="1" applyAlignment="1">
      <alignment horizontal="center" vertical="center" wrapText="1"/>
    </xf>
    <xf numFmtId="3" fontId="12" fillId="3" borderId="1" xfId="0" applyNumberFormat="1" applyFont="1" applyFill="1" applyBorder="1" applyAlignment="1">
      <alignment horizontal="center" vertical="center" wrapText="1"/>
    </xf>
    <xf numFmtId="3" fontId="1" fillId="3" borderId="1" xfId="0" applyNumberFormat="1" applyFont="1" applyFill="1" applyBorder="1" applyAlignment="1">
      <alignment horizontal="center" vertical="center" wrapText="1"/>
    </xf>
    <xf numFmtId="164" fontId="11" fillId="3" borderId="1" xfId="0" applyNumberFormat="1" applyFont="1" applyFill="1" applyBorder="1" applyAlignment="1">
      <alignment horizontal="center" vertical="center" wrapText="1"/>
    </xf>
    <xf numFmtId="167" fontId="12" fillId="3" borderId="1" xfId="0" applyNumberFormat="1" applyFont="1" applyFill="1" applyBorder="1" applyAlignment="1">
      <alignment horizontal="center" vertical="center" wrapText="1"/>
    </xf>
    <xf numFmtId="167" fontId="1" fillId="3" borderId="1" xfId="0" applyNumberFormat="1" applyFont="1" applyFill="1" applyBorder="1" applyAlignment="1">
      <alignment horizontal="center" vertical="center" wrapText="1"/>
    </xf>
    <xf numFmtId="0" fontId="8"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3" fontId="1" fillId="2" borderId="1" xfId="0" applyNumberFormat="1" applyFont="1" applyFill="1" applyBorder="1" applyAlignment="1">
      <alignment horizontal="center" vertical="center" wrapText="1"/>
    </xf>
    <xf numFmtId="0" fontId="12" fillId="2" borderId="1" xfId="0" applyFont="1" applyFill="1" applyBorder="1" applyAlignment="1">
      <alignment horizontal="center" vertical="center" wrapText="1"/>
    </xf>
    <xf numFmtId="0" fontId="1" fillId="2" borderId="15" xfId="0" applyFont="1" applyFill="1" applyBorder="1" applyAlignment="1">
      <alignment vertical="center" wrapText="1"/>
    </xf>
    <xf numFmtId="0" fontId="1" fillId="2" borderId="3" xfId="0" applyFont="1" applyFill="1" applyBorder="1" applyAlignment="1">
      <alignment vertical="center" wrapText="1"/>
    </xf>
    <xf numFmtId="10" fontId="1" fillId="2" borderId="1" xfId="0" applyNumberFormat="1" applyFont="1" applyFill="1" applyBorder="1" applyAlignment="1">
      <alignment vertical="center" wrapText="1"/>
    </xf>
    <xf numFmtId="6" fontId="1" fillId="2" borderId="1" xfId="0" applyNumberFormat="1" applyFont="1" applyFill="1" applyBorder="1" applyAlignment="1">
      <alignment vertical="center" wrapText="1"/>
    </xf>
    <xf numFmtId="0" fontId="14" fillId="0" borderId="0" xfId="0" applyFont="1" applyAlignment="1">
      <alignment vertical="center" wrapText="1"/>
    </xf>
    <xf numFmtId="0" fontId="3" fillId="0" borderId="0" xfId="0" applyFont="1" applyAlignment="1">
      <alignment horizontal="center" vertical="center" wrapText="1"/>
    </xf>
    <xf numFmtId="0" fontId="0" fillId="0" borderId="0" xfId="0"/>
    <xf numFmtId="0" fontId="4" fillId="0" borderId="9" xfId="0" applyFont="1" applyBorder="1"/>
    <xf numFmtId="0" fontId="7" fillId="0" borderId="10" xfId="0" applyFont="1" applyBorder="1" applyAlignment="1">
      <alignment horizontal="center" vertical="center" wrapText="1"/>
    </xf>
    <xf numFmtId="0" fontId="4" fillId="0" borderId="11" xfId="0" applyFont="1" applyBorder="1"/>
    <xf numFmtId="0" fontId="4" fillId="0" borderId="5" xfId="0" applyFont="1" applyBorder="1"/>
    <xf numFmtId="0" fontId="8" fillId="4" borderId="10" xfId="0" applyFont="1" applyFill="1" applyBorder="1" applyAlignment="1">
      <alignment horizontal="center" vertical="center" wrapText="1"/>
    </xf>
    <xf numFmtId="3" fontId="1" fillId="0" borderId="10" xfId="0" applyNumberFormat="1" applyFont="1" applyBorder="1" applyAlignment="1">
      <alignment horizontal="center" vertical="center" wrapText="1"/>
    </xf>
    <xf numFmtId="0" fontId="13" fillId="4" borderId="12" xfId="0" applyFont="1" applyFill="1" applyBorder="1" applyAlignment="1">
      <alignment wrapText="1"/>
    </xf>
    <xf numFmtId="0" fontId="4" fillId="0" borderId="13" xfId="0" applyFont="1" applyBorder="1"/>
    <xf numFmtId="0" fontId="4" fillId="0" borderId="14" xfId="0" applyFont="1" applyBorder="1"/>
    <xf numFmtId="0" fontId="9" fillId="0" borderId="10" xfId="0" applyFont="1" applyBorder="1" applyAlignment="1">
      <alignment horizontal="center" vertical="center" wrapText="1"/>
    </xf>
    <xf numFmtId="10" fontId="1" fillId="0" borderId="10" xfId="0" applyNumberFormat="1" applyFont="1" applyBorder="1" applyAlignment="1">
      <alignment horizontal="center" vertical="center" wrapText="1"/>
    </xf>
    <xf numFmtId="0" fontId="6" fillId="4" borderId="10" xfId="0" applyFont="1" applyFill="1" applyBorder="1" applyAlignment="1">
      <alignment horizontal="center" vertical="center" wrapText="1"/>
    </xf>
    <xf numFmtId="0" fontId="1" fillId="0" borderId="10" xfId="0" applyFont="1" applyBorder="1" applyAlignment="1">
      <alignment horizontal="center" vertical="center" wrapText="1"/>
    </xf>
    <xf numFmtId="165" fontId="1" fillId="0" borderId="10" xfId="0" applyNumberFormat="1" applyFont="1" applyBorder="1" applyAlignment="1">
      <alignment horizontal="center" vertical="center" wrapText="1"/>
    </xf>
    <xf numFmtId="0" fontId="6" fillId="0" borderId="10" xfId="0" applyFont="1" applyBorder="1" applyAlignment="1">
      <alignment horizontal="center" vertical="center" wrapText="1"/>
    </xf>
    <xf numFmtId="164" fontId="1" fillId="0" borderId="10"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995"/>
  <sheetViews>
    <sheetView tabSelected="1" topLeftCell="H3" workbookViewId="0">
      <selection activeCell="L8" sqref="L8"/>
    </sheetView>
  </sheetViews>
  <sheetFormatPr defaultColWidth="12.6328125" defaultRowHeight="15" customHeight="1" x14ac:dyDescent="0.25"/>
  <cols>
    <col min="1" max="1" width="34.26953125" customWidth="1"/>
    <col min="2" max="3" width="16.90625" customWidth="1"/>
    <col min="4" max="5" width="22.90625" customWidth="1"/>
    <col min="6" max="6" width="32.08984375" customWidth="1"/>
    <col min="7" max="11" width="16.90625" customWidth="1"/>
    <col min="12" max="13" width="13.453125" customWidth="1"/>
    <col min="14" max="15" width="16.90625" customWidth="1"/>
    <col min="16" max="16" width="26.90625" customWidth="1"/>
    <col min="17" max="17" width="7.6328125" customWidth="1"/>
    <col min="18" max="18" width="11.08984375" customWidth="1"/>
    <col min="19" max="27" width="7.6328125" customWidth="1"/>
  </cols>
  <sheetData>
    <row r="1" spans="1:27" ht="14.25" customHeight="1" x14ac:dyDescent="0.25">
      <c r="A1" s="1" t="s">
        <v>0</v>
      </c>
      <c r="B1" s="1"/>
      <c r="C1" s="1"/>
      <c r="D1" s="1"/>
      <c r="E1" s="1"/>
      <c r="F1" s="1"/>
      <c r="G1" s="1"/>
      <c r="H1" s="1"/>
      <c r="I1" s="1"/>
      <c r="J1" s="1"/>
      <c r="K1" s="1"/>
      <c r="L1" s="1"/>
      <c r="M1" s="1"/>
      <c r="N1" s="1"/>
      <c r="O1" s="1"/>
      <c r="P1" s="1"/>
      <c r="Q1" s="1"/>
      <c r="R1" s="1"/>
      <c r="S1" s="1"/>
      <c r="T1" s="1"/>
      <c r="U1" s="1"/>
      <c r="V1" s="1"/>
      <c r="W1" s="1"/>
      <c r="X1" s="1"/>
      <c r="Y1" s="1"/>
      <c r="Z1" s="1"/>
      <c r="AA1" s="1"/>
    </row>
    <row r="2" spans="1:27" ht="28.5" customHeight="1" x14ac:dyDescent="0.25">
      <c r="A2" s="2" t="s">
        <v>1</v>
      </c>
      <c r="B2" s="3"/>
      <c r="C2" s="4"/>
      <c r="D2" s="4"/>
      <c r="E2" s="5"/>
      <c r="F2" s="32" t="s">
        <v>33</v>
      </c>
      <c r="G2" s="33"/>
      <c r="H2" s="33"/>
      <c r="I2" s="33"/>
      <c r="J2" s="33"/>
      <c r="K2" s="33"/>
      <c r="L2" s="1"/>
      <c r="M2" s="1"/>
      <c r="N2" s="1"/>
      <c r="O2" s="1"/>
      <c r="P2" s="1"/>
      <c r="Q2" s="1"/>
      <c r="R2" s="1"/>
      <c r="S2" s="1"/>
      <c r="T2" s="1"/>
      <c r="U2" s="1"/>
      <c r="V2" s="1"/>
      <c r="W2" s="1"/>
      <c r="X2" s="1"/>
      <c r="Y2" s="1"/>
      <c r="Z2" s="1"/>
      <c r="AA2" s="1"/>
    </row>
    <row r="3" spans="1:27" ht="28.5" customHeight="1" x14ac:dyDescent="0.25">
      <c r="A3" s="6" t="s">
        <v>2</v>
      </c>
      <c r="B3" s="7">
        <f>0.7*B2</f>
        <v>0</v>
      </c>
      <c r="C3" s="4"/>
      <c r="D3" s="4"/>
      <c r="E3" s="8"/>
      <c r="F3" s="33"/>
      <c r="G3" s="33"/>
      <c r="H3" s="33"/>
      <c r="I3" s="33"/>
      <c r="J3" s="33"/>
      <c r="K3" s="33"/>
      <c r="L3" s="1"/>
      <c r="M3" s="1"/>
      <c r="N3" s="1"/>
      <c r="O3" s="1"/>
      <c r="P3" s="1"/>
      <c r="Q3" s="1"/>
      <c r="R3" s="1"/>
      <c r="S3" s="1"/>
      <c r="T3" s="1"/>
      <c r="U3" s="1"/>
      <c r="V3" s="1"/>
      <c r="W3" s="1"/>
      <c r="X3" s="1"/>
      <c r="Y3" s="1"/>
      <c r="Z3" s="1"/>
      <c r="AA3" s="1"/>
    </row>
    <row r="4" spans="1:27" ht="28.5" customHeight="1" x14ac:dyDescent="0.25">
      <c r="A4" s="6" t="s">
        <v>3</v>
      </c>
      <c r="B4" s="7">
        <f>B2-B3</f>
        <v>0</v>
      </c>
      <c r="C4" s="4"/>
      <c r="D4" s="4"/>
      <c r="E4" s="9"/>
      <c r="F4" s="34"/>
      <c r="G4" s="34"/>
      <c r="H4" s="34"/>
      <c r="I4" s="34"/>
      <c r="J4" s="34"/>
      <c r="K4" s="34"/>
      <c r="L4" s="1"/>
      <c r="M4" s="1"/>
      <c r="N4" s="1"/>
      <c r="O4" s="1"/>
      <c r="P4" s="1"/>
      <c r="Q4" s="1"/>
      <c r="R4" s="1"/>
      <c r="S4" s="1"/>
      <c r="T4" s="1"/>
      <c r="U4" s="1"/>
      <c r="V4" s="1"/>
      <c r="W4" s="1"/>
      <c r="X4" s="1"/>
      <c r="Y4" s="1"/>
      <c r="Z4" s="1"/>
      <c r="AA4" s="1"/>
    </row>
    <row r="5" spans="1:27" ht="28.5" customHeight="1" x14ac:dyDescent="0.25">
      <c r="A5" s="6" t="s">
        <v>4</v>
      </c>
      <c r="B5" s="10"/>
      <c r="C5" s="1"/>
      <c r="D5" s="1"/>
      <c r="E5" s="1"/>
      <c r="F5" s="1"/>
      <c r="G5" s="1"/>
      <c r="H5" s="1"/>
      <c r="I5" s="1"/>
      <c r="J5" s="1"/>
      <c r="K5" s="1"/>
      <c r="L5" s="1"/>
      <c r="M5" s="1"/>
      <c r="N5" s="1"/>
      <c r="O5" s="1"/>
      <c r="P5" s="1"/>
      <c r="Q5" s="1"/>
      <c r="R5" s="1"/>
      <c r="S5" s="1"/>
      <c r="T5" s="1"/>
      <c r="U5" s="1"/>
      <c r="V5" s="1"/>
      <c r="W5" s="1"/>
      <c r="X5" s="1"/>
      <c r="Y5" s="1"/>
      <c r="Z5" s="1"/>
      <c r="AA5" s="1"/>
    </row>
    <row r="6" spans="1:27" ht="14.25" customHeight="1" x14ac:dyDescent="0.25">
      <c r="A6" s="1"/>
      <c r="B6" s="1"/>
      <c r="C6" s="1"/>
      <c r="D6" s="1"/>
      <c r="E6" s="1"/>
      <c r="F6" s="1"/>
      <c r="G6" s="1"/>
      <c r="H6" s="1"/>
      <c r="I6" s="1"/>
      <c r="J6" s="1"/>
      <c r="K6" s="1"/>
      <c r="L6" s="1"/>
      <c r="M6" s="1"/>
      <c r="N6" s="1"/>
      <c r="O6" s="1"/>
      <c r="P6" s="1"/>
      <c r="Q6" s="1"/>
      <c r="R6" s="1"/>
      <c r="S6" s="1"/>
      <c r="T6" s="1"/>
      <c r="U6" s="1"/>
      <c r="V6" s="1"/>
      <c r="W6" s="1"/>
      <c r="X6" s="1"/>
      <c r="Y6" s="1"/>
      <c r="Z6" s="1"/>
      <c r="AA6" s="1"/>
    </row>
    <row r="7" spans="1:27" ht="14.25" customHeight="1" x14ac:dyDescent="0.25">
      <c r="A7" s="1"/>
      <c r="B7" s="1"/>
      <c r="C7" s="1"/>
      <c r="D7" s="1"/>
      <c r="E7" s="1"/>
      <c r="F7" s="1"/>
      <c r="G7" s="1"/>
      <c r="H7" s="1"/>
      <c r="I7" s="1"/>
      <c r="J7" s="1"/>
      <c r="K7" s="1"/>
      <c r="L7" s="1"/>
      <c r="M7" s="1"/>
      <c r="N7" s="1"/>
      <c r="O7" s="1"/>
      <c r="P7" s="1"/>
      <c r="Q7" s="1"/>
      <c r="R7" s="1"/>
      <c r="S7" s="1"/>
      <c r="T7" s="1"/>
      <c r="U7" s="1"/>
      <c r="V7" s="1"/>
      <c r="W7" s="1"/>
      <c r="X7" s="1"/>
      <c r="Y7" s="1"/>
      <c r="Z7" s="1"/>
      <c r="AA7" s="1"/>
    </row>
    <row r="8" spans="1:27" ht="54" customHeight="1" x14ac:dyDescent="0.25">
      <c r="A8" s="11" t="s">
        <v>5</v>
      </c>
      <c r="B8" s="11" t="s">
        <v>6</v>
      </c>
      <c r="C8" s="11" t="s">
        <v>7</v>
      </c>
      <c r="D8" s="11" t="s">
        <v>8</v>
      </c>
      <c r="E8" s="11" t="s">
        <v>9</v>
      </c>
      <c r="F8" s="11" t="s">
        <v>10</v>
      </c>
      <c r="G8" s="11" t="s">
        <v>11</v>
      </c>
      <c r="H8" s="11" t="s">
        <v>12</v>
      </c>
      <c r="I8" s="11" t="s">
        <v>13</v>
      </c>
      <c r="J8" s="11" t="s">
        <v>14</v>
      </c>
      <c r="K8" s="11" t="s">
        <v>15</v>
      </c>
      <c r="L8" s="11" t="s">
        <v>16</v>
      </c>
      <c r="M8" s="11" t="s">
        <v>17</v>
      </c>
      <c r="N8" s="11" t="s">
        <v>18</v>
      </c>
      <c r="O8" s="11" t="s">
        <v>19</v>
      </c>
      <c r="P8" s="11" t="s">
        <v>20</v>
      </c>
      <c r="Q8" s="1"/>
      <c r="R8" s="1"/>
      <c r="S8" s="1"/>
      <c r="T8" s="1"/>
      <c r="U8" s="1"/>
      <c r="V8" s="1"/>
      <c r="W8" s="1"/>
      <c r="X8" s="1"/>
      <c r="Y8" s="1"/>
      <c r="Z8" s="1"/>
      <c r="AA8" s="1"/>
    </row>
    <row r="9" spans="1:27" ht="60" customHeight="1" x14ac:dyDescent="0.25">
      <c r="A9" s="48" t="s">
        <v>21</v>
      </c>
      <c r="B9" s="45" t="s">
        <v>22</v>
      </c>
      <c r="C9" s="45" t="s">
        <v>23</v>
      </c>
      <c r="D9" s="35" t="s">
        <v>24</v>
      </c>
      <c r="E9" s="38" t="s">
        <v>25</v>
      </c>
      <c r="F9" s="43" t="s">
        <v>32</v>
      </c>
      <c r="G9" s="44">
        <v>1.5E-3</v>
      </c>
      <c r="H9" s="39">
        <f>I9*G9</f>
        <v>9030.1003344481596</v>
      </c>
      <c r="I9" s="39">
        <f>(N9/M9)*1000</f>
        <v>6020066.8896321068</v>
      </c>
      <c r="J9" s="46" t="s">
        <v>26</v>
      </c>
      <c r="K9" s="39">
        <f>SUM(I9/8/3)</f>
        <v>250836.12040133777</v>
      </c>
      <c r="L9" s="49">
        <v>8.5399999999999991</v>
      </c>
      <c r="M9" s="49">
        <v>5.98</v>
      </c>
      <c r="N9" s="47">
        <v>36000</v>
      </c>
      <c r="O9" s="47">
        <f>N9/0.7</f>
        <v>51428.571428571435</v>
      </c>
      <c r="P9" s="43" t="s">
        <v>31</v>
      </c>
      <c r="Q9" s="1"/>
      <c r="R9" s="1"/>
      <c r="S9" s="1"/>
      <c r="T9" s="1"/>
      <c r="U9" s="1"/>
      <c r="V9" s="1"/>
      <c r="W9" s="1"/>
      <c r="X9" s="1"/>
      <c r="Y9" s="1"/>
      <c r="Z9" s="1"/>
      <c r="AA9" s="1"/>
    </row>
    <row r="10" spans="1:27" ht="60" customHeight="1" x14ac:dyDescent="0.25">
      <c r="A10" s="36"/>
      <c r="B10" s="36"/>
      <c r="C10" s="36"/>
      <c r="D10" s="36"/>
      <c r="E10" s="36"/>
      <c r="F10" s="36"/>
      <c r="G10" s="36"/>
      <c r="H10" s="36"/>
      <c r="I10" s="36"/>
      <c r="J10" s="36"/>
      <c r="K10" s="36"/>
      <c r="L10" s="36"/>
      <c r="M10" s="36"/>
      <c r="N10" s="36"/>
      <c r="O10" s="36"/>
      <c r="P10" s="36"/>
      <c r="Q10" s="1"/>
      <c r="R10" s="12"/>
      <c r="S10" s="12"/>
      <c r="T10" s="1"/>
      <c r="U10" s="1"/>
      <c r="V10" s="1"/>
      <c r="W10" s="1"/>
      <c r="X10" s="1"/>
      <c r="Y10" s="1"/>
      <c r="Z10" s="1"/>
      <c r="AA10" s="1"/>
    </row>
    <row r="11" spans="1:27" ht="60" customHeight="1" x14ac:dyDescent="0.25">
      <c r="A11" s="36"/>
      <c r="B11" s="36"/>
      <c r="C11" s="36"/>
      <c r="D11" s="37"/>
      <c r="E11" s="37"/>
      <c r="F11" s="36"/>
      <c r="G11" s="36"/>
      <c r="H11" s="36"/>
      <c r="I11" s="36"/>
      <c r="J11" s="36"/>
      <c r="K11" s="36"/>
      <c r="L11" s="36"/>
      <c r="M11" s="36"/>
      <c r="N11" s="37"/>
      <c r="O11" s="36"/>
      <c r="P11" s="36"/>
      <c r="Q11" s="1"/>
      <c r="R11" s="12"/>
      <c r="S11" s="1"/>
      <c r="T11" s="1"/>
      <c r="U11" s="1"/>
      <c r="V11" s="1"/>
      <c r="W11" s="1"/>
      <c r="X11" s="1"/>
      <c r="Y11" s="1"/>
      <c r="Z11" s="1"/>
      <c r="AA11" s="1"/>
    </row>
    <row r="12" spans="1:27" ht="60" customHeight="1" x14ac:dyDescent="0.25">
      <c r="A12" s="36"/>
      <c r="B12" s="45" t="s">
        <v>22</v>
      </c>
      <c r="C12" s="45" t="s">
        <v>23</v>
      </c>
      <c r="D12" s="35" t="s">
        <v>27</v>
      </c>
      <c r="E12" s="38" t="s">
        <v>25</v>
      </c>
      <c r="F12" s="36"/>
      <c r="G12" s="44">
        <v>1.5E-3</v>
      </c>
      <c r="H12" s="39">
        <f>I12*G12</f>
        <v>5016.7224080267561</v>
      </c>
      <c r="I12" s="39">
        <f>(N12/M12)*1000</f>
        <v>3344481.6053511705</v>
      </c>
      <c r="J12" s="46" t="s">
        <v>26</v>
      </c>
      <c r="K12" s="39">
        <f>SUM(I12/8/3)</f>
        <v>139353.40022296543</v>
      </c>
      <c r="L12" s="49">
        <v>8.5399999999999991</v>
      </c>
      <c r="M12" s="49">
        <v>5.98</v>
      </c>
      <c r="N12" s="47">
        <v>20000</v>
      </c>
      <c r="O12" s="47">
        <f>N12/0.7</f>
        <v>28571.428571428572</v>
      </c>
      <c r="P12" s="36"/>
      <c r="Q12" s="1"/>
      <c r="R12" s="1"/>
      <c r="S12" s="1"/>
      <c r="T12" s="1"/>
      <c r="U12" s="1"/>
      <c r="V12" s="1"/>
      <c r="W12" s="1"/>
      <c r="X12" s="1"/>
      <c r="Y12" s="1"/>
      <c r="Z12" s="1"/>
      <c r="AA12" s="1"/>
    </row>
    <row r="13" spans="1:27" ht="60" customHeight="1" x14ac:dyDescent="0.25">
      <c r="A13" s="36"/>
      <c r="B13" s="36"/>
      <c r="C13" s="36"/>
      <c r="D13" s="36"/>
      <c r="E13" s="36"/>
      <c r="F13" s="36"/>
      <c r="G13" s="36"/>
      <c r="H13" s="36"/>
      <c r="I13" s="36"/>
      <c r="J13" s="36"/>
      <c r="K13" s="36"/>
      <c r="L13" s="36"/>
      <c r="M13" s="36"/>
      <c r="N13" s="36"/>
      <c r="O13" s="36"/>
      <c r="P13" s="36"/>
      <c r="Q13" s="1"/>
      <c r="R13" s="1"/>
      <c r="S13" s="1"/>
      <c r="T13" s="1"/>
      <c r="U13" s="1"/>
      <c r="V13" s="1"/>
      <c r="W13" s="1"/>
      <c r="X13" s="1"/>
      <c r="Y13" s="1"/>
      <c r="Z13" s="1"/>
      <c r="AA13" s="1"/>
    </row>
    <row r="14" spans="1:27" ht="60" customHeight="1" x14ac:dyDescent="0.25">
      <c r="A14" s="36"/>
      <c r="B14" s="36"/>
      <c r="C14" s="36"/>
      <c r="D14" s="37"/>
      <c r="E14" s="37"/>
      <c r="F14" s="36"/>
      <c r="G14" s="36"/>
      <c r="H14" s="36"/>
      <c r="I14" s="36"/>
      <c r="J14" s="36"/>
      <c r="K14" s="36"/>
      <c r="L14" s="36"/>
      <c r="M14" s="36"/>
      <c r="N14" s="37"/>
      <c r="O14" s="36"/>
      <c r="P14" s="36"/>
      <c r="Q14" s="1"/>
      <c r="R14" s="1"/>
      <c r="S14" s="1"/>
      <c r="T14" s="1"/>
      <c r="U14" s="1"/>
      <c r="V14" s="1"/>
      <c r="W14" s="1"/>
      <c r="X14" s="1"/>
      <c r="Y14" s="1"/>
      <c r="Z14" s="1"/>
      <c r="AA14" s="1"/>
    </row>
    <row r="15" spans="1:27" ht="60" customHeight="1" x14ac:dyDescent="0.25">
      <c r="A15" s="36"/>
      <c r="B15" s="45" t="s">
        <v>22</v>
      </c>
      <c r="C15" s="45" t="s">
        <v>28</v>
      </c>
      <c r="D15" s="35" t="s">
        <v>24</v>
      </c>
      <c r="E15" s="38" t="s">
        <v>30</v>
      </c>
      <c r="F15" s="36"/>
      <c r="G15" s="44">
        <v>1.5E-3</v>
      </c>
      <c r="H15" s="39">
        <f>I15*G15</f>
        <v>4109.5890410958909</v>
      </c>
      <c r="I15" s="39">
        <f>(N15/M15)*1000</f>
        <v>2739726.0273972605</v>
      </c>
      <c r="J15" s="46" t="s">
        <v>26</v>
      </c>
      <c r="K15" s="39">
        <f>SUM(I15/8/3)</f>
        <v>114155.25114155252</v>
      </c>
      <c r="L15" s="49">
        <v>7.3</v>
      </c>
      <c r="M15" s="49">
        <f>L15*0.7</f>
        <v>5.1099999999999994</v>
      </c>
      <c r="N15" s="47">
        <v>14000</v>
      </c>
      <c r="O15" s="47">
        <f>N15/0.7</f>
        <v>20000</v>
      </c>
      <c r="P15" s="36"/>
      <c r="Q15" s="1"/>
      <c r="R15" s="13"/>
      <c r="S15" s="1"/>
      <c r="T15" s="1"/>
      <c r="U15" s="1"/>
      <c r="V15" s="1"/>
      <c r="W15" s="1"/>
      <c r="X15" s="1"/>
      <c r="Y15" s="1"/>
      <c r="Z15" s="1"/>
      <c r="AA15" s="1"/>
    </row>
    <row r="16" spans="1:27" ht="60" customHeight="1" x14ac:dyDescent="0.25">
      <c r="A16" s="36"/>
      <c r="B16" s="36"/>
      <c r="C16" s="36"/>
      <c r="D16" s="36"/>
      <c r="E16" s="36"/>
      <c r="F16" s="36"/>
      <c r="G16" s="36"/>
      <c r="H16" s="36"/>
      <c r="I16" s="36"/>
      <c r="J16" s="36"/>
      <c r="K16" s="36"/>
      <c r="L16" s="36"/>
      <c r="M16" s="36"/>
      <c r="N16" s="36"/>
      <c r="O16" s="36"/>
      <c r="P16" s="36"/>
      <c r="Q16" s="1"/>
      <c r="R16" s="13"/>
      <c r="S16" s="1"/>
      <c r="T16" s="1"/>
      <c r="U16" s="1"/>
      <c r="V16" s="1"/>
      <c r="W16" s="1"/>
      <c r="X16" s="1"/>
      <c r="Y16" s="1"/>
      <c r="Z16" s="1"/>
      <c r="AA16" s="1"/>
    </row>
    <row r="17" spans="1:27" ht="60" customHeight="1" x14ac:dyDescent="0.25">
      <c r="A17" s="36"/>
      <c r="B17" s="36"/>
      <c r="C17" s="36"/>
      <c r="D17" s="37"/>
      <c r="E17" s="37"/>
      <c r="F17" s="37"/>
      <c r="G17" s="36"/>
      <c r="H17" s="36"/>
      <c r="I17" s="36"/>
      <c r="J17" s="36"/>
      <c r="K17" s="36"/>
      <c r="L17" s="36"/>
      <c r="M17" s="36"/>
      <c r="N17" s="37"/>
      <c r="O17" s="36"/>
      <c r="P17" s="37"/>
      <c r="Q17" s="1"/>
      <c r="R17" s="13"/>
      <c r="S17" s="1"/>
      <c r="T17" s="1"/>
      <c r="U17" s="1"/>
      <c r="V17" s="1"/>
      <c r="W17" s="1"/>
      <c r="X17" s="1"/>
      <c r="Y17" s="1"/>
      <c r="Z17" s="1"/>
      <c r="AA17" s="1"/>
    </row>
    <row r="18" spans="1:27" ht="24" customHeight="1" x14ac:dyDescent="0.25">
      <c r="A18" s="14"/>
      <c r="B18" s="14"/>
      <c r="C18" s="14"/>
      <c r="D18" s="15"/>
      <c r="E18" s="16"/>
      <c r="F18" s="15"/>
      <c r="G18" s="17">
        <v>1.5E-3</v>
      </c>
      <c r="H18" s="18">
        <f>SUM(H9:H17)</f>
        <v>18156.411783570809</v>
      </c>
      <c r="I18" s="18">
        <f>SUM(I9:I17)</f>
        <v>12104274.522380538</v>
      </c>
      <c r="J18" s="19"/>
      <c r="K18" s="18">
        <f>SUM(K9:K17)</f>
        <v>504344.77176585572</v>
      </c>
      <c r="L18" s="20"/>
      <c r="M18" s="20"/>
      <c r="N18" s="21">
        <f>SUM(N9:N17)</f>
        <v>70000</v>
      </c>
      <c r="O18" s="21">
        <f>SUM(O9:O17)</f>
        <v>100000</v>
      </c>
      <c r="P18" s="22"/>
      <c r="Q18" s="1"/>
      <c r="R18" s="1"/>
      <c r="S18" s="1"/>
      <c r="T18" s="1"/>
      <c r="U18" s="1"/>
      <c r="V18" s="1"/>
      <c r="W18" s="1"/>
      <c r="X18" s="1"/>
      <c r="Y18" s="1"/>
      <c r="Z18" s="1"/>
      <c r="AA18" s="1"/>
    </row>
    <row r="19" spans="1:27" ht="14.25" customHeight="1" x14ac:dyDescent="0.25">
      <c r="A19" s="1"/>
      <c r="B19" s="23"/>
      <c r="C19" s="1"/>
      <c r="D19" s="24"/>
      <c r="E19" s="24"/>
      <c r="F19" s="24"/>
      <c r="G19" s="25"/>
      <c r="H19" s="25"/>
      <c r="I19" s="25"/>
      <c r="J19" s="24"/>
      <c r="K19" s="24"/>
      <c r="L19" s="24"/>
      <c r="M19" s="24"/>
      <c r="N19" s="26"/>
      <c r="O19" s="1"/>
      <c r="P19" s="1"/>
      <c r="Q19" s="1"/>
      <c r="R19" s="1"/>
      <c r="S19" s="1"/>
      <c r="T19" s="1"/>
      <c r="U19" s="1"/>
      <c r="V19" s="1"/>
      <c r="W19" s="1"/>
      <c r="X19" s="1"/>
      <c r="Y19" s="1"/>
      <c r="Z19" s="1"/>
      <c r="AA19" s="1"/>
    </row>
    <row r="20" spans="1:27" ht="31.5" customHeight="1" x14ac:dyDescent="0.25">
      <c r="A20" s="40" t="s">
        <v>29</v>
      </c>
      <c r="B20" s="41"/>
      <c r="C20" s="41"/>
      <c r="D20" s="41"/>
      <c r="E20" s="41"/>
      <c r="F20" s="41"/>
      <c r="G20" s="41"/>
      <c r="H20" s="41"/>
      <c r="I20" s="1"/>
      <c r="J20" s="1"/>
      <c r="K20" s="1"/>
      <c r="L20" s="1"/>
      <c r="M20" s="1"/>
      <c r="N20" s="1"/>
      <c r="O20" s="1"/>
      <c r="P20" s="1"/>
      <c r="Q20" s="1"/>
      <c r="R20" s="1"/>
      <c r="S20" s="1"/>
      <c r="T20" s="1"/>
      <c r="U20" s="1"/>
      <c r="V20" s="1"/>
      <c r="W20" s="1"/>
      <c r="X20" s="1"/>
      <c r="Y20" s="1"/>
      <c r="Z20" s="1"/>
      <c r="AA20" s="1"/>
    </row>
    <row r="21" spans="1:27" ht="14.25" customHeight="1" x14ac:dyDescent="0.25">
      <c r="A21" s="42"/>
      <c r="B21" s="33"/>
      <c r="C21" s="33"/>
      <c r="D21" s="33"/>
      <c r="E21" s="33"/>
      <c r="F21" s="33"/>
      <c r="G21" s="33"/>
      <c r="H21" s="33"/>
      <c r="I21" s="1"/>
      <c r="J21" s="1"/>
      <c r="K21" s="1"/>
      <c r="L21" s="1"/>
      <c r="M21" s="1"/>
      <c r="N21" s="1"/>
      <c r="O21" s="1"/>
      <c r="P21" s="1"/>
      <c r="Q21" s="1"/>
      <c r="R21" s="1"/>
      <c r="S21" s="1"/>
      <c r="T21" s="1"/>
      <c r="U21" s="1"/>
      <c r="V21" s="1"/>
      <c r="W21" s="1"/>
      <c r="X21" s="1"/>
      <c r="Y21" s="1"/>
      <c r="Z21" s="1"/>
      <c r="AA21" s="1"/>
    </row>
    <row r="22" spans="1:27" ht="14.25" customHeight="1" x14ac:dyDescent="0.25">
      <c r="A22" s="1"/>
      <c r="B22" s="1"/>
      <c r="C22" s="1"/>
      <c r="D22" s="27"/>
      <c r="E22" s="1"/>
      <c r="F22" s="27"/>
      <c r="G22" s="1"/>
      <c r="H22" s="1"/>
      <c r="I22" s="1"/>
      <c r="J22" s="1"/>
      <c r="K22" s="1"/>
      <c r="L22" s="1"/>
      <c r="M22" s="1"/>
      <c r="N22" s="1"/>
      <c r="O22" s="1"/>
      <c r="P22" s="1"/>
      <c r="Q22" s="1"/>
      <c r="R22" s="1"/>
      <c r="S22" s="1"/>
      <c r="T22" s="1"/>
      <c r="U22" s="1"/>
      <c r="V22" s="1"/>
      <c r="W22" s="1"/>
      <c r="X22" s="1"/>
      <c r="Y22" s="1"/>
      <c r="Z22" s="1"/>
      <c r="AA22" s="1"/>
    </row>
    <row r="23" spans="1:27" ht="14.25" customHeight="1" x14ac:dyDescent="0.25">
      <c r="A23" s="1"/>
      <c r="B23" s="1"/>
      <c r="C23" s="1"/>
      <c r="D23" s="28"/>
      <c r="E23" s="1"/>
      <c r="F23" s="28"/>
      <c r="G23" s="1"/>
      <c r="H23" s="1"/>
      <c r="I23" s="1"/>
      <c r="J23" s="1"/>
      <c r="K23" s="1"/>
      <c r="L23" s="1"/>
      <c r="M23" s="1"/>
      <c r="N23" s="1"/>
      <c r="O23" s="1"/>
      <c r="P23" s="1"/>
      <c r="Q23" s="1"/>
      <c r="R23" s="1"/>
      <c r="S23" s="1"/>
      <c r="T23" s="1"/>
      <c r="U23" s="1"/>
      <c r="V23" s="1"/>
      <c r="W23" s="1"/>
      <c r="X23" s="1"/>
      <c r="Y23" s="1"/>
      <c r="Z23" s="1"/>
      <c r="AA23" s="1"/>
    </row>
    <row r="24" spans="1:27" ht="14.2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ht="14.25" customHeight="1" x14ac:dyDescent="0.25">
      <c r="A25" s="1"/>
      <c r="B25" s="1"/>
      <c r="C25" s="1"/>
      <c r="D25" s="1"/>
      <c r="E25" s="1"/>
      <c r="F25" s="1"/>
      <c r="G25" s="1"/>
      <c r="H25" s="1"/>
      <c r="I25" s="1"/>
      <c r="J25" s="1"/>
      <c r="K25" s="1"/>
      <c r="L25" s="1"/>
      <c r="M25" s="1"/>
      <c r="N25" s="1"/>
      <c r="O25" s="29"/>
      <c r="P25" s="1"/>
      <c r="Q25" s="1"/>
      <c r="R25" s="1"/>
      <c r="S25" s="1"/>
      <c r="T25" s="1"/>
      <c r="U25" s="1"/>
      <c r="V25" s="1"/>
      <c r="W25" s="1"/>
      <c r="X25" s="1"/>
      <c r="Y25" s="1"/>
      <c r="Z25" s="1"/>
      <c r="AA25" s="1"/>
    </row>
    <row r="26" spans="1:27" ht="14.25" customHeight="1" x14ac:dyDescent="0.25">
      <c r="A26" s="1"/>
      <c r="B26" s="1"/>
      <c r="C26" s="1"/>
      <c r="D26" s="1"/>
      <c r="E26" s="1"/>
      <c r="F26" s="1"/>
      <c r="G26" s="1"/>
      <c r="H26" s="1"/>
      <c r="I26" s="1"/>
      <c r="J26" s="1"/>
      <c r="K26" s="1"/>
      <c r="L26" s="1"/>
      <c r="M26" s="1"/>
      <c r="N26" s="1"/>
      <c r="O26" s="29"/>
      <c r="P26" s="1"/>
      <c r="Q26" s="1"/>
      <c r="R26" s="1"/>
      <c r="S26" s="1"/>
      <c r="T26" s="1"/>
      <c r="U26" s="1"/>
      <c r="V26" s="1"/>
      <c r="W26" s="1"/>
      <c r="X26" s="1"/>
      <c r="Y26" s="1"/>
      <c r="Z26" s="1"/>
      <c r="AA26" s="1"/>
    </row>
    <row r="27" spans="1:27" ht="14.25" customHeight="1" x14ac:dyDescent="0.25">
      <c r="A27" s="30"/>
      <c r="B27" s="1"/>
      <c r="C27" s="30"/>
      <c r="D27" s="1"/>
      <c r="E27" s="1"/>
      <c r="F27" s="1"/>
      <c r="G27" s="1"/>
      <c r="H27" s="1"/>
      <c r="I27" s="1"/>
      <c r="J27" s="1"/>
      <c r="K27" s="1"/>
      <c r="L27" s="1"/>
      <c r="M27" s="1"/>
      <c r="N27" s="1"/>
      <c r="O27" s="1"/>
      <c r="P27" s="1"/>
      <c r="Q27" s="1"/>
      <c r="R27" s="1"/>
      <c r="S27" s="1"/>
      <c r="T27" s="1"/>
      <c r="U27" s="1"/>
      <c r="V27" s="1"/>
      <c r="W27" s="1"/>
      <c r="X27" s="1"/>
      <c r="Y27" s="1"/>
      <c r="Z27" s="1"/>
      <c r="AA27" s="1"/>
    </row>
    <row r="28" spans="1:27" ht="14.2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ht="14.2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14.2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ht="14.2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4.2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4.2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4.2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4.25" customHeight="1" x14ac:dyDescent="0.25">
      <c r="A35" s="30"/>
      <c r="B35" s="1"/>
      <c r="C35" s="30"/>
      <c r="D35" s="1"/>
      <c r="E35" s="1"/>
      <c r="F35" s="1"/>
      <c r="G35" s="1"/>
      <c r="H35" s="1"/>
      <c r="I35" s="1"/>
      <c r="J35" s="1"/>
      <c r="K35" s="1"/>
      <c r="L35" s="1"/>
      <c r="M35" s="1"/>
      <c r="N35" s="1"/>
      <c r="O35" s="1"/>
      <c r="P35" s="1"/>
      <c r="Q35" s="1"/>
      <c r="R35" s="1"/>
      <c r="S35" s="1"/>
      <c r="T35" s="1"/>
      <c r="U35" s="1"/>
      <c r="V35" s="1"/>
      <c r="W35" s="1"/>
      <c r="X35" s="1"/>
      <c r="Y35" s="1"/>
      <c r="Z35" s="1"/>
      <c r="AA35" s="1"/>
    </row>
    <row r="36" spans="1:27" ht="14.2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4.2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4.2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4.2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4.2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4.2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4.2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4.25" customHeight="1" x14ac:dyDescent="0.25">
      <c r="A43" s="30"/>
      <c r="B43" s="1"/>
      <c r="C43" s="30"/>
      <c r="D43" s="1"/>
      <c r="E43" s="1"/>
      <c r="F43" s="1"/>
      <c r="G43" s="1"/>
      <c r="H43" s="1"/>
      <c r="I43" s="1"/>
      <c r="J43" s="1"/>
      <c r="K43" s="1"/>
      <c r="L43" s="1"/>
      <c r="M43" s="1"/>
      <c r="N43" s="1"/>
      <c r="O43" s="1"/>
      <c r="P43" s="1"/>
      <c r="Q43" s="1"/>
      <c r="R43" s="1"/>
      <c r="S43" s="1"/>
      <c r="T43" s="1"/>
      <c r="U43" s="1"/>
      <c r="V43" s="1"/>
      <c r="W43" s="1"/>
      <c r="X43" s="1"/>
      <c r="Y43" s="1"/>
      <c r="Z43" s="1"/>
      <c r="AA43" s="1"/>
    </row>
    <row r="44" spans="1:27" ht="14.2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4.2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4.2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4.2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4.2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4.2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4.2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4.25" customHeight="1" x14ac:dyDescent="0.25">
      <c r="A51" s="30"/>
      <c r="B51" s="1"/>
      <c r="C51" s="30"/>
      <c r="D51" s="1"/>
      <c r="E51" s="1"/>
      <c r="F51" s="1"/>
      <c r="G51" s="1"/>
      <c r="H51" s="1"/>
      <c r="I51" s="1"/>
      <c r="J51" s="1"/>
      <c r="K51" s="1"/>
      <c r="L51" s="1"/>
      <c r="M51" s="1"/>
      <c r="N51" s="1"/>
      <c r="O51" s="1"/>
      <c r="P51" s="1"/>
      <c r="Q51" s="1"/>
      <c r="R51" s="1"/>
      <c r="S51" s="1"/>
      <c r="T51" s="1"/>
      <c r="U51" s="1"/>
      <c r="V51" s="1"/>
      <c r="W51" s="1"/>
      <c r="X51" s="1"/>
      <c r="Y51" s="1"/>
      <c r="Z51" s="1"/>
      <c r="AA51" s="1"/>
    </row>
    <row r="52" spans="1:27" ht="14.2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4.2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4.2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4.2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4.2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4.2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4.2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4.2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4.2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4.2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4.2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4.2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4.2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4.2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4.2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4.25" customHeight="1" x14ac:dyDescent="0.25">
      <c r="A67" s="1"/>
      <c r="B67" s="1"/>
      <c r="C67" s="1"/>
      <c r="D67" s="1"/>
      <c r="E67" s="1"/>
      <c r="F67" s="1"/>
      <c r="G67" s="1"/>
      <c r="H67" s="1"/>
      <c r="I67" s="1"/>
      <c r="J67" s="1"/>
      <c r="K67" s="31"/>
      <c r="L67" s="31"/>
      <c r="M67" s="31"/>
      <c r="N67" s="31"/>
      <c r="O67" s="31"/>
      <c r="P67" s="31"/>
      <c r="Q67" s="31"/>
      <c r="R67" s="31"/>
      <c r="S67" s="31"/>
      <c r="T67" s="31"/>
      <c r="U67" s="31"/>
      <c r="V67" s="31"/>
      <c r="W67" s="31"/>
      <c r="X67" s="31"/>
      <c r="Y67" s="31"/>
      <c r="Z67" s="31"/>
      <c r="AA67" s="31"/>
    </row>
    <row r="68" spans="1:27" ht="14.25" customHeight="1" x14ac:dyDescent="0.25">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row>
    <row r="69" spans="1:27" ht="14.25" customHeight="1" x14ac:dyDescent="0.25">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row>
    <row r="70" spans="1:27" ht="14.25" customHeight="1" x14ac:dyDescent="0.25">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row>
    <row r="71" spans="1:27" ht="14.25" customHeight="1" x14ac:dyDescent="0.25">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row>
    <row r="72" spans="1:27" ht="14.25" customHeight="1" x14ac:dyDescent="0.25">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row>
    <row r="73" spans="1:27" ht="14.25" customHeight="1" x14ac:dyDescent="0.25">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row>
    <row r="74" spans="1:27" ht="14.25" customHeight="1" x14ac:dyDescent="0.25">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row>
    <row r="75" spans="1:27" ht="14.25" customHeight="1" x14ac:dyDescent="0.25">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row>
    <row r="76" spans="1:27" ht="14.25" customHeight="1" x14ac:dyDescent="0.25">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row>
    <row r="77" spans="1:27" ht="14.25" customHeight="1" x14ac:dyDescent="0.25">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row>
    <row r="78" spans="1:27" ht="14.25" customHeight="1" x14ac:dyDescent="0.25">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row>
    <row r="79" spans="1:27" ht="14.25" customHeight="1" x14ac:dyDescent="0.25">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row>
    <row r="80" spans="1:27" ht="14.25" customHeight="1" x14ac:dyDescent="0.25">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row>
    <row r="81" spans="1:27" ht="14.25" customHeight="1" x14ac:dyDescent="0.25">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row>
    <row r="82" spans="1:27" ht="14.25" customHeight="1" x14ac:dyDescent="0.25">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row>
    <row r="83" spans="1:27" ht="14.25" customHeight="1" x14ac:dyDescent="0.25">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row>
    <row r="84" spans="1:27" ht="14.25" customHeight="1" x14ac:dyDescent="0.25">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row>
    <row r="85" spans="1:27" ht="14.25" customHeight="1" x14ac:dyDescent="0.25">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row>
    <row r="86" spans="1:27" ht="14.25" customHeight="1" x14ac:dyDescent="0.25">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row>
    <row r="87" spans="1:27" ht="14.25" customHeight="1" x14ac:dyDescent="0.25">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row>
    <row r="88" spans="1:27" ht="14.25" customHeight="1" x14ac:dyDescent="0.25">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row>
    <row r="89" spans="1:27" ht="14.25" customHeight="1" x14ac:dyDescent="0.25">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row>
    <row r="90" spans="1:27" ht="14.25" customHeight="1" x14ac:dyDescent="0.25">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row>
    <row r="91" spans="1:27" ht="14.25" customHeight="1" x14ac:dyDescent="0.25">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row>
    <row r="92" spans="1:27" ht="14.25" customHeight="1" x14ac:dyDescent="0.25">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row>
    <row r="93" spans="1:27" ht="14.25" customHeight="1" x14ac:dyDescent="0.25">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row>
    <row r="94" spans="1:27" ht="14.25" customHeight="1" x14ac:dyDescent="0.25">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row>
    <row r="95" spans="1:27" ht="14.25" customHeight="1" x14ac:dyDescent="0.25">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row>
    <row r="96" spans="1:27" ht="14.25" customHeight="1" x14ac:dyDescent="0.25">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row>
    <row r="97" spans="1:27" ht="14.25" customHeight="1" x14ac:dyDescent="0.25">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row>
    <row r="98" spans="1:27" ht="14.25" customHeight="1" x14ac:dyDescent="0.25">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row>
    <row r="99" spans="1:27" ht="14.25" customHeight="1" x14ac:dyDescent="0.25">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row>
    <row r="100" spans="1:27" ht="14.25" customHeight="1" x14ac:dyDescent="0.25">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row>
    <row r="101" spans="1:27" ht="14.25" customHeight="1" x14ac:dyDescent="0.25">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row>
    <row r="102" spans="1:27" ht="14.25" customHeight="1" x14ac:dyDescent="0.25">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row>
    <row r="103" spans="1:27" ht="14.25" customHeight="1" x14ac:dyDescent="0.25">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row>
    <row r="104" spans="1:27" ht="14.25" customHeight="1" x14ac:dyDescent="0.25">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row>
    <row r="105" spans="1:27" ht="14.25" customHeight="1" x14ac:dyDescent="0.25">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row>
    <row r="106" spans="1:27" ht="14.25" customHeight="1" x14ac:dyDescent="0.25">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row>
    <row r="107" spans="1:27" ht="14.25" customHeight="1" x14ac:dyDescent="0.25">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row>
    <row r="108" spans="1:27" ht="14.25" customHeight="1" x14ac:dyDescent="0.25">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row>
    <row r="109" spans="1:27" ht="14.25" customHeight="1" x14ac:dyDescent="0.25">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row>
    <row r="110" spans="1:27" ht="14.25" customHeight="1" x14ac:dyDescent="0.25">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row>
    <row r="111" spans="1:27" ht="14.25" customHeight="1" x14ac:dyDescent="0.25">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row>
    <row r="112" spans="1:27" ht="14.25" customHeight="1" x14ac:dyDescent="0.25">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row>
    <row r="113" spans="1:27" ht="14.25" customHeight="1" x14ac:dyDescent="0.25">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row>
    <row r="114" spans="1:27" ht="14.25" customHeight="1" x14ac:dyDescent="0.25">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row>
    <row r="115" spans="1:27" ht="14.25" customHeight="1" x14ac:dyDescent="0.25">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row>
    <row r="116" spans="1:27" ht="14.25" customHeight="1" x14ac:dyDescent="0.25">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row>
    <row r="117" spans="1:27" ht="14.25" customHeight="1" x14ac:dyDescent="0.25">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row>
    <row r="118" spans="1:27" ht="14.25" customHeight="1" x14ac:dyDescent="0.25">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row>
    <row r="119" spans="1:27" ht="14.25" customHeight="1" x14ac:dyDescent="0.25">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row>
    <row r="120" spans="1:27" ht="14.25" customHeight="1" x14ac:dyDescent="0.25">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row>
    <row r="121" spans="1:27" ht="14.25" customHeight="1" x14ac:dyDescent="0.25">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row>
    <row r="122" spans="1:27" ht="14.25" customHeight="1" x14ac:dyDescent="0.25">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row>
    <row r="123" spans="1:27" ht="14.25" customHeight="1" x14ac:dyDescent="0.25">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row>
    <row r="124" spans="1:27" ht="14.25" customHeight="1" x14ac:dyDescent="0.25">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row>
    <row r="125" spans="1:27" ht="14.25" customHeight="1" x14ac:dyDescent="0.25">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row>
    <row r="126" spans="1:27" ht="14.25" customHeight="1" x14ac:dyDescent="0.25">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row>
    <row r="127" spans="1:27" ht="14.25" customHeight="1" x14ac:dyDescent="0.25">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row>
    <row r="128" spans="1:27" ht="14.25" customHeight="1" x14ac:dyDescent="0.25">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row>
    <row r="129" spans="1:27" ht="14.25" customHeight="1" x14ac:dyDescent="0.25">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row>
    <row r="130" spans="1:27" ht="14.25" customHeight="1" x14ac:dyDescent="0.25">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row>
    <row r="131" spans="1:27" ht="14.25" customHeight="1" x14ac:dyDescent="0.25">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row>
    <row r="132" spans="1:27" ht="14.25" customHeight="1" x14ac:dyDescent="0.25">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row>
    <row r="133" spans="1:27" ht="14.25" customHeight="1" x14ac:dyDescent="0.25">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row>
    <row r="134" spans="1:27" ht="14.25" customHeight="1" x14ac:dyDescent="0.25">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row>
    <row r="135" spans="1:27" ht="14.25" customHeight="1" x14ac:dyDescent="0.25">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row>
    <row r="136" spans="1:27" ht="14.25" customHeight="1" x14ac:dyDescent="0.25">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row>
    <row r="137" spans="1:27" ht="14.25" customHeight="1" x14ac:dyDescent="0.25">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row>
    <row r="138" spans="1:27" ht="14.25" customHeight="1" x14ac:dyDescent="0.25">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row>
    <row r="139" spans="1:27" ht="14.25" customHeight="1" x14ac:dyDescent="0.25">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row>
    <row r="140" spans="1:27" ht="14.25" customHeight="1" x14ac:dyDescent="0.25">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row>
    <row r="141" spans="1:27" ht="14.25" customHeight="1" x14ac:dyDescent="0.25">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row>
    <row r="142" spans="1:27" ht="14.25" customHeight="1" x14ac:dyDescent="0.25">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row>
    <row r="143" spans="1:27" ht="14.25" customHeight="1" x14ac:dyDescent="0.25">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row>
    <row r="144" spans="1:27" ht="14.25" customHeight="1" x14ac:dyDescent="0.25">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row>
    <row r="145" spans="1:27" ht="14.25" customHeight="1" x14ac:dyDescent="0.25">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row>
    <row r="146" spans="1:27" ht="14.25" customHeight="1" x14ac:dyDescent="0.25">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row>
    <row r="147" spans="1:27" ht="14.25" customHeight="1" x14ac:dyDescent="0.25">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row>
    <row r="148" spans="1:27" ht="14.25" customHeight="1" x14ac:dyDescent="0.25">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row>
    <row r="149" spans="1:27" ht="14.25" customHeight="1" x14ac:dyDescent="0.25">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row>
    <row r="150" spans="1:27" ht="14.25" customHeight="1" x14ac:dyDescent="0.25">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row>
    <row r="151" spans="1:27" ht="14.25" customHeight="1" x14ac:dyDescent="0.25">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row>
    <row r="152" spans="1:27" ht="14.25" customHeight="1" x14ac:dyDescent="0.25">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row>
    <row r="153" spans="1:27" ht="14.25" customHeight="1" x14ac:dyDescent="0.25">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row>
    <row r="154" spans="1:27" ht="14.25" customHeight="1" x14ac:dyDescent="0.25">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row>
    <row r="155" spans="1:27" ht="14.25" customHeight="1" x14ac:dyDescent="0.25">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row>
    <row r="156" spans="1:27" ht="14.25" customHeight="1" x14ac:dyDescent="0.25">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row>
    <row r="157" spans="1:27" ht="14.25" customHeight="1" x14ac:dyDescent="0.25">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row>
    <row r="158" spans="1:27" ht="14.25" customHeight="1" x14ac:dyDescent="0.25">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row>
    <row r="159" spans="1:27" ht="14.25" customHeight="1" x14ac:dyDescent="0.25">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row>
    <row r="160" spans="1:27" ht="14.25" customHeight="1" x14ac:dyDescent="0.25">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row>
    <row r="161" spans="1:27" ht="14.25" customHeight="1" x14ac:dyDescent="0.25">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row>
    <row r="162" spans="1:27" ht="14.25" customHeight="1" x14ac:dyDescent="0.25">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row>
    <row r="163" spans="1:27" ht="14.25" customHeight="1" x14ac:dyDescent="0.25">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row>
    <row r="164" spans="1:27" ht="14.25" customHeight="1" x14ac:dyDescent="0.25">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row>
    <row r="165" spans="1:27" ht="14.25" customHeight="1" x14ac:dyDescent="0.25">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row>
    <row r="166" spans="1:27" ht="14.25" customHeight="1" x14ac:dyDescent="0.25">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row>
    <row r="167" spans="1:27" ht="14.25" customHeight="1" x14ac:dyDescent="0.25">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row>
    <row r="168" spans="1:27" ht="14.25" customHeight="1" x14ac:dyDescent="0.25">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row>
    <row r="169" spans="1:27" ht="14.25" customHeight="1" x14ac:dyDescent="0.25">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row>
    <row r="170" spans="1:27" ht="14.25" customHeight="1" x14ac:dyDescent="0.25">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row>
    <row r="171" spans="1:27" ht="14.25" customHeight="1" x14ac:dyDescent="0.25">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row>
    <row r="172" spans="1:27" ht="14.25" customHeight="1" x14ac:dyDescent="0.25">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row>
    <row r="173" spans="1:27" ht="14.25" customHeight="1" x14ac:dyDescent="0.25">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row>
    <row r="174" spans="1:27" ht="14.25" customHeight="1" x14ac:dyDescent="0.25">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row>
    <row r="175" spans="1:27" ht="14.25" customHeight="1" x14ac:dyDescent="0.25">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row>
    <row r="176" spans="1:27" ht="14.25" customHeight="1" x14ac:dyDescent="0.25">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row>
    <row r="177" spans="1:27" ht="14.25" customHeight="1" x14ac:dyDescent="0.25">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row>
    <row r="178" spans="1:27" ht="14.25" customHeight="1" x14ac:dyDescent="0.25">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row>
    <row r="179" spans="1:27" ht="14.25" customHeight="1" x14ac:dyDescent="0.25">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row>
    <row r="180" spans="1:27" ht="14.25" customHeight="1" x14ac:dyDescent="0.25">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row>
    <row r="181" spans="1:27" ht="14.25" customHeight="1" x14ac:dyDescent="0.25">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row>
    <row r="182" spans="1:27" ht="14.25" customHeight="1" x14ac:dyDescent="0.25">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row>
    <row r="183" spans="1:27" ht="14.25" customHeight="1" x14ac:dyDescent="0.25">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row>
    <row r="184" spans="1:27" ht="14.25" customHeight="1" x14ac:dyDescent="0.25">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row>
    <row r="185" spans="1:27" ht="14.25" customHeight="1" x14ac:dyDescent="0.25">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row>
    <row r="186" spans="1:27" ht="14.25" customHeight="1" x14ac:dyDescent="0.25">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row>
    <row r="187" spans="1:27" ht="14.25" customHeight="1" x14ac:dyDescent="0.25">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row>
    <row r="188" spans="1:27" ht="14.25" customHeight="1" x14ac:dyDescent="0.25">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row>
    <row r="189" spans="1:27" ht="14.25" customHeight="1" x14ac:dyDescent="0.25">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row>
    <row r="190" spans="1:27" ht="14.25" customHeight="1" x14ac:dyDescent="0.25">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row>
    <row r="191" spans="1:27" ht="14.25" customHeight="1" x14ac:dyDescent="0.25">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row>
    <row r="192" spans="1:27" ht="14.25" customHeight="1" x14ac:dyDescent="0.25">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row>
    <row r="193" spans="1:27" ht="14.25" customHeight="1" x14ac:dyDescent="0.25">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row>
    <row r="194" spans="1:27" ht="14.25" customHeight="1" x14ac:dyDescent="0.25">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row>
    <row r="195" spans="1:27" ht="14.25" customHeight="1" x14ac:dyDescent="0.25">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row>
    <row r="196" spans="1:27" ht="14.25" customHeight="1" x14ac:dyDescent="0.25">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row>
    <row r="197" spans="1:27" ht="14.25" customHeight="1" x14ac:dyDescent="0.25">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row>
    <row r="198" spans="1:27" ht="14.25" customHeight="1" x14ac:dyDescent="0.25">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row>
    <row r="199" spans="1:27" ht="14.25" customHeight="1" x14ac:dyDescent="0.25">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row>
    <row r="200" spans="1:27" ht="14.25" customHeight="1" x14ac:dyDescent="0.25">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row>
    <row r="201" spans="1:27" ht="14.25" customHeight="1" x14ac:dyDescent="0.25">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row>
    <row r="202" spans="1:27" ht="14.25" customHeight="1" x14ac:dyDescent="0.25">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row>
    <row r="203" spans="1:27" ht="14.25" customHeight="1" x14ac:dyDescent="0.25">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row>
    <row r="204" spans="1:27" ht="14.25" customHeight="1" x14ac:dyDescent="0.25">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row>
    <row r="205" spans="1:27" ht="14.25" customHeight="1" x14ac:dyDescent="0.25">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row>
    <row r="206" spans="1:27" ht="14.25" customHeight="1" x14ac:dyDescent="0.25">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row>
    <row r="207" spans="1:27" ht="14.25" customHeight="1" x14ac:dyDescent="0.25">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row>
    <row r="208" spans="1:27" ht="14.25" customHeight="1" x14ac:dyDescent="0.25">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row>
    <row r="209" spans="1:27" ht="14.25" customHeight="1" x14ac:dyDescent="0.25">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row>
    <row r="210" spans="1:27" ht="14.25" customHeight="1" x14ac:dyDescent="0.25">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row>
    <row r="211" spans="1:27" ht="14.25" customHeight="1" x14ac:dyDescent="0.25">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row>
    <row r="212" spans="1:27" ht="14.25" customHeight="1" x14ac:dyDescent="0.25">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row>
    <row r="213" spans="1:27" ht="14.25" customHeight="1" x14ac:dyDescent="0.25">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row>
    <row r="214" spans="1:27" ht="14.25" customHeight="1" x14ac:dyDescent="0.25">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row>
    <row r="215" spans="1:27" ht="14.25" customHeight="1" x14ac:dyDescent="0.25">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row>
    <row r="216" spans="1:27" ht="14.25" customHeight="1" x14ac:dyDescent="0.25">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row>
    <row r="217" spans="1:27" ht="14.25" customHeight="1" x14ac:dyDescent="0.25">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row>
    <row r="218" spans="1:27" ht="14.25" customHeight="1" x14ac:dyDescent="0.25">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row>
    <row r="219" spans="1:27" ht="14.25" customHeight="1" x14ac:dyDescent="0.25">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row>
    <row r="220" spans="1:27" ht="14.25" customHeight="1" x14ac:dyDescent="0.25">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row>
    <row r="221" spans="1:27" ht="15.75" customHeight="1" x14ac:dyDescent="0.25"/>
    <row r="222" spans="1:27" ht="15.75" customHeight="1" x14ac:dyDescent="0.25"/>
    <row r="223" spans="1:27" ht="15.75" customHeight="1" x14ac:dyDescent="0.25"/>
    <row r="224" spans="1:27"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sheetData>
  <mergeCells count="44">
    <mergeCell ref="C9:C11"/>
    <mergeCell ref="A9:A17"/>
    <mergeCell ref="L15:L17"/>
    <mergeCell ref="M15:M17"/>
    <mergeCell ref="N15:N17"/>
    <mergeCell ref="E12:E14"/>
    <mergeCell ref="G12:G14"/>
    <mergeCell ref="C15:C17"/>
    <mergeCell ref="D15:D17"/>
    <mergeCell ref="B15:B17"/>
    <mergeCell ref="L12:L14"/>
    <mergeCell ref="M12:M14"/>
    <mergeCell ref="N12:N14"/>
    <mergeCell ref="I9:I11"/>
    <mergeCell ref="J9:J11"/>
    <mergeCell ref="L9:L11"/>
    <mergeCell ref="O15:O17"/>
    <mergeCell ref="P9:P17"/>
    <mergeCell ref="G15:G17"/>
    <mergeCell ref="H15:H17"/>
    <mergeCell ref="I15:I17"/>
    <mergeCell ref="J15:J17"/>
    <mergeCell ref="K9:K11"/>
    <mergeCell ref="K12:K14"/>
    <mergeCell ref="O12:O14"/>
    <mergeCell ref="M9:M11"/>
    <mergeCell ref="N9:N11"/>
    <mergeCell ref="O9:O11"/>
    <mergeCell ref="F2:K4"/>
    <mergeCell ref="D9:D11"/>
    <mergeCell ref="E9:E11"/>
    <mergeCell ref="H12:H14"/>
    <mergeCell ref="A20:H21"/>
    <mergeCell ref="E15:E17"/>
    <mergeCell ref="F9:F17"/>
    <mergeCell ref="K15:K17"/>
    <mergeCell ref="G9:G11"/>
    <mergeCell ref="H9:H11"/>
    <mergeCell ref="B9:B11"/>
    <mergeCell ref="B12:B14"/>
    <mergeCell ref="C12:C14"/>
    <mergeCell ref="D12:D14"/>
    <mergeCell ref="I12:I14"/>
    <mergeCell ref="J12:J14"/>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Media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Megan Cardoe</cp:lastModifiedBy>
  <dcterms:created xsi:type="dcterms:W3CDTF">2025-06-02T14:16:17Z</dcterms:created>
  <dcterms:modified xsi:type="dcterms:W3CDTF">2025-12-04T19:21:54Z</dcterms:modified>
</cp:coreProperties>
</file>