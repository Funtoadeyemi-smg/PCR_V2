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dia Plan" sheetId="1" r:id="rId4"/>
  </sheets>
  <definedNames/>
  <calcPr/>
  <extLst>
    <ext uri="GoogleSheetsCustomDataVersion2">
      <go:sheetsCustomData xmlns:go="http://customooxmlschemas.google.com/" r:id="rId5" roundtripDataChecksum="klMHtBf1mCbB3FAZ3Wa7kVz1NdEBYtqOoAGjowIm/AE="/>
    </ext>
  </extLst>
</workbook>
</file>

<file path=xl/sharedStrings.xml><?xml version="1.0" encoding="utf-8"?>
<sst xmlns="http://schemas.openxmlformats.org/spreadsheetml/2006/main" count="36" uniqueCount="32">
  <si>
    <t xml:space="preserve"> </t>
  </si>
  <si>
    <t>Campaign activation investment (Campaign gross cost):</t>
  </si>
  <si>
    <t>Audience360 - NCF Media Plan
x
Dior Beauty Q1 2025</t>
  </si>
  <si>
    <t>Net media spend:</t>
  </si>
  <si>
    <t>Total fees:</t>
  </si>
  <si>
    <t>PO number:</t>
  </si>
  <si>
    <t>Channel</t>
  </si>
  <si>
    <t>Audience Data Source</t>
  </si>
  <si>
    <t>Platform</t>
  </si>
  <si>
    <t>Focus</t>
  </si>
  <si>
    <t>Format &amp; placement</t>
  </si>
  <si>
    <t>Targeting segment</t>
  </si>
  <si>
    <t>Estimated CTR</t>
  </si>
  <si>
    <t>Estimated link clicks</t>
  </si>
  <si>
    <t>Estimated Impressions</t>
  </si>
  <si>
    <t>Estimated Frequency</t>
  </si>
  <si>
    <t>Estimated Reach</t>
  </si>
  <si>
    <t>Gross CPM</t>
  </si>
  <si>
    <t>Net CPM</t>
  </si>
  <si>
    <t>Net spend by platform</t>
  </si>
  <si>
    <t>Gross spend by channel / platform</t>
  </si>
  <si>
    <t>Flight duration</t>
  </si>
  <si>
    <t>Paid Social</t>
  </si>
  <si>
    <t>Boots First Party Data</t>
  </si>
  <si>
    <t>Meta (Facebook &amp; Instagram)</t>
  </si>
  <si>
    <t>Awareness</t>
  </si>
  <si>
    <t>Static / Carousel / Video 
(in-feed and Story, both 1x1 (or 4x5) and 9x16 to be supplied</t>
  </si>
  <si>
    <t>Current Dior Beauty Shoppers L12M
Lapsed Dior Beauty Shoppers L12M-24M
Dior Cosmetic Propensity Model
All Premium Shoppers
Lip &amp; Face category shoppers
NPD Beauty Shoppers
Retargeting page viewers</t>
  </si>
  <si>
    <t>3 per week</t>
  </si>
  <si>
    <t>24/01/2025 –  31/03/2025</t>
  </si>
  <si>
    <t>Sales</t>
  </si>
  <si>
    <t xml:space="preserve">Remarks: By agreeing to this media plan, you also agree to the media team optimising budget fluidly across channels and audiences where appropriate, and where optimisations are required to improve performance according to the briefs' KPIs and objectives, within the campaign flight duration.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</si>
</sst>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Red]\-&quot;£&quot;#,##0"/>
    <numFmt numFmtId="165" formatCode="[$£]#,##0.00"/>
    <numFmt numFmtId="166" formatCode="[$£]#,##0"/>
    <numFmt numFmtId="167" formatCode="m/d/yyyy"/>
    <numFmt numFmtId="168" formatCode="&quot;£&quot;#,##0"/>
  </numFmts>
  <fonts count="15">
    <font>
      <sz val="10.0"/>
      <color rgb="FF000000"/>
      <name val="Arial"/>
      <scheme val="minor"/>
    </font>
    <font>
      <sz val="11.0"/>
      <color theme="1"/>
      <name val="Montserrat"/>
    </font>
    <font>
      <b/>
      <sz val="11.0"/>
      <color theme="1"/>
      <name val="Montserrat"/>
    </font>
    <font>
      <b/>
      <sz val="17.0"/>
      <color theme="1"/>
      <name val="Montserrat"/>
    </font>
    <font/>
    <font>
      <b/>
      <sz val="11.0"/>
      <color rgb="FFFFFFFF"/>
      <name val="Montserrat"/>
    </font>
    <font>
      <b/>
      <sz val="11.0"/>
      <color rgb="FF222222"/>
      <name val="Montserrat"/>
    </font>
    <font>
      <b/>
      <sz val="11.0"/>
      <color rgb="FF000000"/>
      <name val="Montserrat"/>
    </font>
    <font>
      <sz val="11.0"/>
      <color rgb="FF222222"/>
      <name val="Montserrat"/>
    </font>
    <font>
      <sz val="11.0"/>
      <color rgb="FF000000"/>
      <name val="Montserrat"/>
    </font>
    <font>
      <sz val="10.0"/>
      <color theme="1"/>
      <name val="Arial"/>
    </font>
    <font>
      <sz val="11.0"/>
      <color rgb="FFFFFFFF"/>
      <name val="Montserrat"/>
    </font>
    <font>
      <sz val="11.0"/>
      <color theme="0"/>
      <name val="Montserrat"/>
    </font>
    <font>
      <b/>
      <i/>
      <sz val="11.0"/>
      <color theme="1"/>
      <name val="Montserrat"/>
    </font>
    <font>
      <sz val="10.0"/>
      <color theme="1"/>
      <name val="Montserrat"/>
    </font>
  </fonts>
  <fills count="5">
    <fill>
      <patternFill patternType="none"/>
    </fill>
    <fill>
      <patternFill patternType="lightGray"/>
    </fill>
    <fill>
      <patternFill patternType="solid">
        <fgColor theme="0"/>
        <bgColor theme="0"/>
      </patternFill>
    </fill>
    <fill>
      <patternFill patternType="solid">
        <fgColor rgb="FF002060"/>
        <bgColor rgb="FF002060"/>
      </patternFill>
    </fill>
    <fill>
      <patternFill patternType="solid">
        <fgColor rgb="FFFFFFFF"/>
        <bgColor rgb="FFFFFFFF"/>
      </patternFill>
    </fill>
  </fills>
  <borders count="17">
    <border/>
    <border>
      <left/>
      <right/>
      <top/>
      <bottom/>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right style="thin">
        <color rgb="FFFFFFFF"/>
      </right>
      <bottom style="thin">
        <color rgb="FFFFFFFF"/>
      </bottom>
    </border>
    <border>
      <left style="thin">
        <color rgb="FF000000"/>
      </left>
      <right style="thin">
        <color rgb="FF000000"/>
      </right>
      <bottom style="thin">
        <color rgb="FF000000"/>
      </bottom>
    </border>
    <border>
      <right style="thin">
        <color rgb="FF000000"/>
      </right>
      <bottom style="thin">
        <color rgb="FF000000"/>
      </bottom>
    </border>
    <border>
      <right style="thin">
        <color rgb="FFFFFFFF"/>
      </right>
      <top style="thin">
        <color rgb="FFFFFFFF"/>
      </top>
      <bottom style="thin">
        <color rgb="FFFFFFFF"/>
      </bottom>
    </border>
    <border>
      <right style="thin">
        <color rgb="FFFFFFFF"/>
      </right>
      <top style="thin">
        <color rgb="FFFFFFFF"/>
      </top>
    </border>
    <border>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border>
    <border>
      <left/>
      <top/>
    </border>
    <border>
      <top/>
    </border>
    <border>
      <left/>
    </border>
    <border>
      <left style="thin">
        <color rgb="FFFFFFFF"/>
      </left>
      <right style="thin">
        <color rgb="FFFFFFFF"/>
      </right>
      <top/>
      <bottom style="thin">
        <color rgb="FFFFFFFF"/>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0" fontId="2" numFmtId="0" xfId="0" applyAlignment="1" applyBorder="1" applyFont="1">
      <alignment shrinkToFit="0" vertical="center" wrapText="1"/>
    </xf>
    <xf borderId="2" fillId="0" fontId="2" numFmtId="164" xfId="0" applyAlignment="1" applyBorder="1" applyFont="1" applyNumberFormat="1">
      <alignment horizontal="right" shrinkToFit="0" vertical="center" wrapText="1"/>
    </xf>
    <xf borderId="3" fillId="0" fontId="3" numFmtId="0" xfId="0" applyAlignment="1" applyBorder="1" applyFont="1">
      <alignment horizontal="center" shrinkToFit="0" vertical="center" wrapText="1"/>
    </xf>
    <xf borderId="4" fillId="0" fontId="3" numFmtId="0" xfId="0" applyAlignment="1" applyBorder="1" applyFont="1">
      <alignment horizontal="center" shrinkToFit="0" vertical="center" wrapText="1"/>
    </xf>
    <xf borderId="0" fillId="0" fontId="3" numFmtId="0" xfId="0" applyAlignment="1" applyFont="1">
      <alignment horizontal="center" readingOrder="0" shrinkToFit="0" vertical="center" wrapText="1"/>
    </xf>
    <xf borderId="5" fillId="0" fontId="2" numFmtId="0" xfId="0" applyAlignment="1" applyBorder="1" applyFont="1">
      <alignment shrinkToFit="0" vertical="center" wrapText="1"/>
    </xf>
    <xf borderId="6" fillId="0" fontId="2" numFmtId="164" xfId="0" applyAlignment="1" applyBorder="1" applyFont="1" applyNumberFormat="1">
      <alignment horizontal="right" shrinkToFit="0" vertical="center" wrapText="1"/>
    </xf>
    <xf borderId="7" fillId="0" fontId="3" numFmtId="0" xfId="0" applyAlignment="1" applyBorder="1" applyFont="1">
      <alignment horizontal="center" shrinkToFit="0" vertical="center" wrapText="1"/>
    </xf>
    <xf borderId="8" fillId="0" fontId="3" numFmtId="0" xfId="0" applyAlignment="1" applyBorder="1" applyFont="1">
      <alignment horizontal="center" shrinkToFit="0" vertical="center" wrapText="1"/>
    </xf>
    <xf borderId="9" fillId="0" fontId="4" numFmtId="0" xfId="0" applyBorder="1" applyFont="1"/>
    <xf borderId="6" fillId="0" fontId="2" numFmtId="49" xfId="0" applyAlignment="1" applyBorder="1" applyFont="1" applyNumberFormat="1">
      <alignment horizontal="right" shrinkToFit="0" vertical="center" wrapText="1"/>
    </xf>
    <xf borderId="2" fillId="3" fontId="5" numFmtId="0" xfId="0" applyAlignment="1" applyBorder="1" applyFill="1" applyFont="1">
      <alignment horizontal="center" shrinkToFit="0" vertical="center" wrapText="1"/>
    </xf>
    <xf borderId="10" fillId="0" fontId="6" numFmtId="0" xfId="0" applyAlignment="1" applyBorder="1" applyFont="1">
      <alignment horizontal="center" shrinkToFit="0" vertical="center" wrapText="1"/>
    </xf>
    <xf borderId="10" fillId="4" fontId="6" numFmtId="0" xfId="0" applyAlignment="1" applyBorder="1" applyFill="1" applyFont="1">
      <alignment horizontal="center" shrinkToFit="0" vertical="center" wrapText="1"/>
    </xf>
    <xf borderId="10" fillId="0" fontId="7" numFmtId="0" xfId="0" applyAlignment="1" applyBorder="1" applyFont="1">
      <alignment horizontal="center" readingOrder="0" shrinkToFit="0" vertical="center" wrapText="1"/>
    </xf>
    <xf borderId="10" fillId="4" fontId="8" numFmtId="0" xfId="0" applyAlignment="1" applyBorder="1" applyFont="1">
      <alignment horizontal="center" shrinkToFit="0" vertical="center" wrapText="1"/>
    </xf>
    <xf borderId="10" fillId="0" fontId="9" numFmtId="0" xfId="0" applyAlignment="1" applyBorder="1" applyFont="1">
      <alignment horizontal="center" readingOrder="0" shrinkToFit="0" vertical="center" wrapText="1"/>
    </xf>
    <xf borderId="10" fillId="0" fontId="1" numFmtId="10" xfId="0" applyAlignment="1" applyBorder="1" applyFont="1" applyNumberFormat="1">
      <alignment horizontal="center" shrinkToFit="0" vertical="center" wrapText="1"/>
    </xf>
    <xf borderId="10" fillId="0" fontId="1" numFmtId="3" xfId="0" applyAlignment="1" applyBorder="1" applyFont="1" applyNumberFormat="1">
      <alignment horizontal="center" shrinkToFit="0" vertical="center" wrapText="1"/>
    </xf>
    <xf borderId="10" fillId="0" fontId="1" numFmtId="0" xfId="0" applyAlignment="1" applyBorder="1" applyFont="1">
      <alignment horizontal="center" shrinkToFit="0" vertical="center" wrapText="1"/>
    </xf>
    <xf borderId="10" fillId="0" fontId="1" numFmtId="3" xfId="0" applyAlignment="1" applyBorder="1" applyFont="1" applyNumberFormat="1">
      <alignment horizontal="center" readingOrder="0" shrinkToFit="0" vertical="center" wrapText="1"/>
    </xf>
    <xf borderId="10" fillId="0" fontId="1" numFmtId="165" xfId="0" applyAlignment="1" applyBorder="1" applyFont="1" applyNumberFormat="1">
      <alignment horizontal="center" shrinkToFit="0" vertical="center" wrapText="1"/>
    </xf>
    <xf borderId="10" fillId="0" fontId="1" numFmtId="166" xfId="0" applyAlignment="1" applyBorder="1" applyFont="1" applyNumberFormat="1">
      <alignment horizontal="center" readingOrder="0" shrinkToFit="0" vertical="center" wrapText="1"/>
    </xf>
    <xf borderId="11" fillId="0" fontId="4" numFmtId="0" xfId="0" applyBorder="1" applyFont="1"/>
    <xf borderId="1" fillId="2" fontId="1" numFmtId="167" xfId="0" applyAlignment="1" applyBorder="1" applyFont="1" applyNumberFormat="1">
      <alignment shrinkToFit="0" vertical="center" wrapText="1"/>
    </xf>
    <xf borderId="12" fillId="0" fontId="4" numFmtId="0" xfId="0" applyBorder="1" applyFont="1"/>
    <xf borderId="5" fillId="0" fontId="4" numFmtId="0" xfId="0" applyBorder="1" applyFont="1"/>
    <xf borderId="10" fillId="0" fontId="7" numFmtId="0" xfId="0" applyAlignment="1" applyBorder="1" applyFont="1">
      <alignment horizontal="center" shrinkToFit="0" vertical="center" wrapText="1"/>
    </xf>
    <xf borderId="1" fillId="3" fontId="8" numFmtId="0" xfId="0" applyAlignment="1" applyBorder="1" applyFont="1">
      <alignment horizontal="center" shrinkToFit="0" vertical="center" wrapText="1"/>
    </xf>
    <xf borderId="1" fillId="3" fontId="1" numFmtId="0" xfId="0" applyAlignment="1" applyBorder="1" applyFont="1">
      <alignment horizontal="center" shrinkToFit="0" vertical="center" wrapText="1"/>
    </xf>
    <xf borderId="1" fillId="3" fontId="10" numFmtId="0" xfId="0" applyAlignment="1" applyBorder="1" applyFont="1">
      <alignment horizontal="center" vertical="center"/>
    </xf>
    <xf borderId="1" fillId="3" fontId="11" numFmtId="10" xfId="0" applyAlignment="1" applyBorder="1" applyFont="1" applyNumberFormat="1">
      <alignment horizontal="center" shrinkToFit="0" vertical="center" wrapText="1"/>
    </xf>
    <xf borderId="1" fillId="3" fontId="12" numFmtId="3" xfId="0" applyAlignment="1" applyBorder="1" applyFont="1" applyNumberFormat="1">
      <alignment horizontal="center" shrinkToFit="0" vertical="center" wrapText="1"/>
    </xf>
    <xf borderId="1" fillId="3" fontId="1" numFmtId="3" xfId="0" applyAlignment="1" applyBorder="1" applyFont="1" applyNumberFormat="1">
      <alignment horizontal="center" shrinkToFit="0" vertical="center" wrapText="1"/>
    </xf>
    <xf borderId="1" fillId="3" fontId="11" numFmtId="165" xfId="0" applyAlignment="1" applyBorder="1" applyFont="1" applyNumberFormat="1">
      <alignment horizontal="center" shrinkToFit="0" vertical="center" wrapText="1"/>
    </xf>
    <xf borderId="1" fillId="3" fontId="12" numFmtId="168" xfId="0" applyAlignment="1" applyBorder="1" applyFont="1" applyNumberFormat="1">
      <alignment horizontal="center" shrinkToFit="0" vertical="center" wrapText="1"/>
    </xf>
    <xf borderId="1" fillId="3" fontId="1" numFmtId="168" xfId="0" applyAlignment="1" applyBorder="1" applyFont="1" applyNumberFormat="1">
      <alignment horizontal="center" shrinkToFit="0" vertical="center" wrapText="1"/>
    </xf>
    <xf borderId="1" fillId="2" fontId="8" numFmtId="0" xfId="0" applyAlignment="1" applyBorder="1" applyFont="1">
      <alignment horizontal="center" shrinkToFit="0" vertical="center" wrapText="1"/>
    </xf>
    <xf borderId="1" fillId="2" fontId="1" numFmtId="0" xfId="0" applyAlignment="1" applyBorder="1" applyFont="1">
      <alignment horizontal="center" shrinkToFit="0" vertical="center" wrapText="1"/>
    </xf>
    <xf borderId="1" fillId="2" fontId="1" numFmtId="3" xfId="0" applyAlignment="1" applyBorder="1" applyFont="1" applyNumberFormat="1">
      <alignment horizontal="center" shrinkToFit="0" vertical="center" wrapText="1"/>
    </xf>
    <xf borderId="1" fillId="2" fontId="12" numFmtId="0" xfId="0" applyAlignment="1" applyBorder="1" applyFont="1">
      <alignment horizontal="center" shrinkToFit="0" vertical="center" wrapText="1"/>
    </xf>
    <xf borderId="13" fillId="4" fontId="13" numFmtId="0" xfId="0" applyAlignment="1" applyBorder="1" applyFont="1">
      <alignment shrinkToFit="0" wrapText="1"/>
    </xf>
    <xf borderId="14" fillId="0" fontId="4" numFmtId="0" xfId="0" applyBorder="1" applyFont="1"/>
    <xf borderId="15" fillId="0" fontId="4" numFmtId="0" xfId="0" applyBorder="1" applyFont="1"/>
    <xf borderId="16" fillId="2" fontId="1" numFmtId="0" xfId="0" applyAlignment="1" applyBorder="1" applyFont="1">
      <alignment shrinkToFit="0" vertical="center" wrapText="1"/>
    </xf>
    <xf borderId="3" fillId="2" fontId="1" numFmtId="0" xfId="0" applyAlignment="1" applyBorder="1" applyFont="1">
      <alignment shrinkToFit="0" vertical="center" wrapText="1"/>
    </xf>
    <xf borderId="1" fillId="2" fontId="1" numFmtId="10" xfId="0" applyAlignment="1" applyBorder="1" applyFont="1" applyNumberFormat="1">
      <alignment shrinkToFit="0" vertical="center" wrapText="1"/>
    </xf>
    <xf borderId="1" fillId="2" fontId="1" numFmtId="164" xfId="0" applyAlignment="1" applyBorder="1" applyFont="1" applyNumberFormat="1">
      <alignment shrinkToFit="0" vertical="center" wrapText="1"/>
    </xf>
    <xf borderId="0" fillId="0" fontId="14"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4.25"/>
    <col customWidth="1" min="2" max="3" width="16.88"/>
    <col customWidth="1" min="4" max="5" width="22.88"/>
    <col customWidth="1" min="6" max="6" width="32.13"/>
    <col customWidth="1" min="7" max="11" width="16.88"/>
    <col customWidth="1" min="12" max="13" width="13.5"/>
    <col customWidth="1" min="14" max="15" width="16.88"/>
    <col customWidth="1" min="16" max="16" width="26.88"/>
    <col customWidth="1" min="17" max="17" width="7.63"/>
    <col customWidth="1" min="18" max="18" width="11.13"/>
    <col customWidth="1" min="19" max="27" width="7.63"/>
  </cols>
  <sheetData>
    <row r="1" ht="14.25" customHeight="1">
      <c r="A1" s="1" t="s">
        <v>0</v>
      </c>
      <c r="B1" s="1"/>
      <c r="C1" s="1"/>
      <c r="D1" s="1"/>
      <c r="E1" s="1"/>
      <c r="F1" s="1"/>
      <c r="G1" s="1"/>
      <c r="H1" s="1"/>
      <c r="I1" s="1"/>
      <c r="J1" s="1"/>
      <c r="K1" s="1"/>
      <c r="L1" s="1"/>
      <c r="M1" s="1"/>
      <c r="N1" s="1"/>
      <c r="O1" s="1"/>
      <c r="P1" s="1"/>
      <c r="Q1" s="1"/>
      <c r="R1" s="1"/>
      <c r="S1" s="1"/>
      <c r="T1" s="1"/>
      <c r="U1" s="1"/>
      <c r="V1" s="1"/>
      <c r="W1" s="1"/>
      <c r="X1" s="1"/>
      <c r="Y1" s="1"/>
      <c r="Z1" s="1"/>
      <c r="AA1" s="1"/>
    </row>
    <row r="2" ht="28.5" customHeight="1">
      <c r="A2" s="2" t="s">
        <v>1</v>
      </c>
      <c r="B2" s="3">
        <v>50000.0</v>
      </c>
      <c r="C2" s="4"/>
      <c r="D2" s="4"/>
      <c r="E2" s="5"/>
      <c r="F2" s="6" t="s">
        <v>2</v>
      </c>
      <c r="L2" s="1"/>
      <c r="M2" s="1"/>
      <c r="N2" s="1"/>
      <c r="O2" s="1"/>
      <c r="P2" s="1"/>
      <c r="Q2" s="1"/>
      <c r="R2" s="1"/>
      <c r="S2" s="1"/>
      <c r="T2" s="1"/>
      <c r="U2" s="1"/>
      <c r="V2" s="1"/>
      <c r="W2" s="1"/>
      <c r="X2" s="1"/>
      <c r="Y2" s="1"/>
      <c r="Z2" s="1"/>
      <c r="AA2" s="1"/>
    </row>
    <row r="3" ht="28.5" customHeight="1">
      <c r="A3" s="7" t="s">
        <v>3</v>
      </c>
      <c r="B3" s="8">
        <f>0.7*B2</f>
        <v>35000</v>
      </c>
      <c r="C3" s="4"/>
      <c r="D3" s="4"/>
      <c r="E3" s="9"/>
      <c r="L3" s="1"/>
      <c r="M3" s="1"/>
      <c r="N3" s="1"/>
      <c r="O3" s="1"/>
      <c r="P3" s="1"/>
      <c r="Q3" s="1"/>
      <c r="R3" s="1"/>
      <c r="S3" s="1"/>
      <c r="T3" s="1"/>
      <c r="U3" s="1"/>
      <c r="V3" s="1"/>
      <c r="W3" s="1"/>
      <c r="X3" s="1"/>
      <c r="Y3" s="1"/>
      <c r="Z3" s="1"/>
      <c r="AA3" s="1"/>
    </row>
    <row r="4" ht="28.5" customHeight="1">
      <c r="A4" s="7" t="s">
        <v>4</v>
      </c>
      <c r="B4" s="8">
        <f>B2-B3</f>
        <v>15000</v>
      </c>
      <c r="C4" s="4"/>
      <c r="D4" s="4"/>
      <c r="E4" s="10"/>
      <c r="F4" s="11"/>
      <c r="G4" s="11"/>
      <c r="H4" s="11"/>
      <c r="I4" s="11"/>
      <c r="J4" s="11"/>
      <c r="K4" s="11"/>
      <c r="L4" s="1"/>
      <c r="M4" s="1"/>
      <c r="N4" s="1"/>
      <c r="O4" s="1"/>
      <c r="P4" s="1"/>
      <c r="Q4" s="1"/>
      <c r="R4" s="1"/>
      <c r="S4" s="1"/>
      <c r="T4" s="1"/>
      <c r="U4" s="1"/>
      <c r="V4" s="1"/>
      <c r="W4" s="1"/>
      <c r="X4" s="1"/>
      <c r="Y4" s="1"/>
      <c r="Z4" s="1"/>
      <c r="AA4" s="1"/>
    </row>
    <row r="5" ht="28.5" customHeight="1">
      <c r="A5" s="7" t="s">
        <v>5</v>
      </c>
      <c r="B5" s="12"/>
      <c r="C5" s="1"/>
      <c r="D5" s="1"/>
      <c r="E5" s="1"/>
      <c r="F5" s="1"/>
      <c r="G5" s="1"/>
      <c r="H5" s="1"/>
      <c r="I5" s="1"/>
      <c r="J5" s="1"/>
      <c r="K5" s="1"/>
      <c r="L5" s="1"/>
      <c r="M5" s="1"/>
      <c r="N5" s="1"/>
      <c r="O5" s="1"/>
      <c r="P5" s="1"/>
      <c r="Q5" s="1"/>
      <c r="R5" s="1"/>
      <c r="S5" s="1"/>
      <c r="T5" s="1"/>
      <c r="U5" s="1"/>
      <c r="V5" s="1"/>
      <c r="W5" s="1"/>
      <c r="X5" s="1"/>
      <c r="Y5" s="1"/>
      <c r="Z5" s="1"/>
      <c r="AA5" s="1"/>
    </row>
    <row r="6" ht="14.25" customHeight="1">
      <c r="A6" s="1"/>
      <c r="B6" s="1"/>
      <c r="C6" s="1"/>
      <c r="D6" s="1"/>
      <c r="E6" s="1"/>
      <c r="F6" s="1"/>
      <c r="G6" s="1"/>
      <c r="H6" s="1"/>
      <c r="I6" s="1"/>
      <c r="J6" s="1"/>
      <c r="K6" s="1"/>
      <c r="L6" s="1"/>
      <c r="M6" s="1"/>
      <c r="N6" s="1"/>
      <c r="O6" s="1"/>
      <c r="P6" s="1"/>
      <c r="Q6" s="1"/>
      <c r="R6" s="1"/>
      <c r="S6" s="1"/>
      <c r="T6" s="1"/>
      <c r="U6" s="1"/>
      <c r="V6" s="1"/>
      <c r="W6" s="1"/>
      <c r="X6" s="1"/>
      <c r="Y6" s="1"/>
      <c r="Z6" s="1"/>
      <c r="AA6" s="1"/>
    </row>
    <row r="7" ht="14.25" customHeight="1">
      <c r="A7" s="1"/>
      <c r="B7" s="1"/>
      <c r="C7" s="1"/>
      <c r="D7" s="1"/>
      <c r="E7" s="1"/>
      <c r="F7" s="1"/>
      <c r="G7" s="1"/>
      <c r="H7" s="1"/>
      <c r="I7" s="1"/>
      <c r="J7" s="1"/>
      <c r="K7" s="1"/>
      <c r="L7" s="1"/>
      <c r="M7" s="1"/>
      <c r="N7" s="1"/>
      <c r="O7" s="1"/>
      <c r="P7" s="1"/>
      <c r="Q7" s="1"/>
      <c r="R7" s="1"/>
      <c r="S7" s="1"/>
      <c r="T7" s="1"/>
      <c r="U7" s="1"/>
      <c r="V7" s="1"/>
      <c r="W7" s="1"/>
      <c r="X7" s="1"/>
      <c r="Y7" s="1"/>
      <c r="Z7" s="1"/>
      <c r="AA7" s="1"/>
    </row>
    <row r="8" ht="54.0" customHeight="1">
      <c r="A8" s="13" t="s">
        <v>6</v>
      </c>
      <c r="B8" s="13" t="s">
        <v>7</v>
      </c>
      <c r="C8" s="13" t="s">
        <v>8</v>
      </c>
      <c r="D8" s="13" t="s">
        <v>9</v>
      </c>
      <c r="E8" s="13" t="s">
        <v>10</v>
      </c>
      <c r="F8" s="13" t="s">
        <v>11</v>
      </c>
      <c r="G8" s="13" t="s">
        <v>12</v>
      </c>
      <c r="H8" s="13" t="s">
        <v>13</v>
      </c>
      <c r="I8" s="13" t="s">
        <v>14</v>
      </c>
      <c r="J8" s="13" t="s">
        <v>15</v>
      </c>
      <c r="K8" s="13" t="s">
        <v>16</v>
      </c>
      <c r="L8" s="13" t="s">
        <v>17</v>
      </c>
      <c r="M8" s="13" t="s">
        <v>18</v>
      </c>
      <c r="N8" s="13" t="s">
        <v>19</v>
      </c>
      <c r="O8" s="13" t="s">
        <v>20</v>
      </c>
      <c r="P8" s="13" t="s">
        <v>21</v>
      </c>
      <c r="Q8" s="1"/>
      <c r="R8" s="1"/>
      <c r="S8" s="1"/>
      <c r="T8" s="1"/>
      <c r="U8" s="1"/>
      <c r="V8" s="1"/>
      <c r="W8" s="1"/>
      <c r="X8" s="1"/>
      <c r="Y8" s="1"/>
      <c r="Z8" s="1"/>
      <c r="AA8" s="1"/>
    </row>
    <row r="9" ht="60.0" customHeight="1">
      <c r="A9" s="14" t="s">
        <v>22</v>
      </c>
      <c r="B9" s="15" t="s">
        <v>23</v>
      </c>
      <c r="C9" s="15" t="s">
        <v>24</v>
      </c>
      <c r="D9" s="16" t="s">
        <v>25</v>
      </c>
      <c r="E9" s="17" t="s">
        <v>26</v>
      </c>
      <c r="F9" s="18" t="s">
        <v>27</v>
      </c>
      <c r="G9" s="19">
        <v>0.001</v>
      </c>
      <c r="H9" s="20">
        <f>I9*G9</f>
        <v>3260.869565</v>
      </c>
      <c r="I9" s="20">
        <f>(N9/M9)*1000</f>
        <v>3260869.565</v>
      </c>
      <c r="J9" s="21" t="s">
        <v>28</v>
      </c>
      <c r="K9" s="22">
        <f>I9/8/2.5</f>
        <v>163043.4783</v>
      </c>
      <c r="L9" s="23">
        <v>8.54</v>
      </c>
      <c r="M9" s="23">
        <v>5.98</v>
      </c>
      <c r="N9" s="24">
        <v>19500.0</v>
      </c>
      <c r="O9" s="24">
        <v>27857.0</v>
      </c>
      <c r="P9" s="18" t="s">
        <v>29</v>
      </c>
      <c r="Q9" s="1"/>
      <c r="R9" s="1"/>
      <c r="S9" s="1"/>
      <c r="T9" s="1"/>
      <c r="U9" s="1"/>
      <c r="V9" s="1"/>
      <c r="W9" s="1"/>
      <c r="X9" s="1"/>
      <c r="Y9" s="1"/>
      <c r="Z9" s="1"/>
      <c r="AA9" s="1"/>
    </row>
    <row r="10" ht="60.0" customHeight="1">
      <c r="A10" s="25"/>
      <c r="B10" s="25"/>
      <c r="C10" s="25"/>
      <c r="D10" s="25"/>
      <c r="E10" s="25"/>
      <c r="F10" s="25"/>
      <c r="G10" s="25"/>
      <c r="H10" s="25"/>
      <c r="I10" s="25"/>
      <c r="J10" s="25"/>
      <c r="K10" s="25"/>
      <c r="L10" s="25"/>
      <c r="M10" s="25"/>
      <c r="N10" s="25"/>
      <c r="O10" s="25"/>
      <c r="P10" s="25"/>
      <c r="Q10" s="1"/>
      <c r="R10" s="26"/>
      <c r="S10" s="26"/>
      <c r="T10" s="1"/>
      <c r="U10" s="1"/>
      <c r="V10" s="1"/>
      <c r="W10" s="1"/>
      <c r="X10" s="1"/>
      <c r="Y10" s="1"/>
      <c r="Z10" s="1"/>
      <c r="AA10" s="1"/>
    </row>
    <row r="11" ht="60.0" customHeight="1">
      <c r="A11" s="25"/>
      <c r="B11" s="27"/>
      <c r="C11" s="27"/>
      <c r="D11" s="28"/>
      <c r="E11" s="28"/>
      <c r="F11" s="25"/>
      <c r="G11" s="25"/>
      <c r="H11" s="25"/>
      <c r="I11" s="25"/>
      <c r="J11" s="25"/>
      <c r="K11" s="25"/>
      <c r="L11" s="25"/>
      <c r="M11" s="25"/>
      <c r="N11" s="28"/>
      <c r="O11" s="25"/>
      <c r="P11" s="25"/>
      <c r="Q11" s="1"/>
      <c r="R11" s="26"/>
      <c r="S11" s="1"/>
      <c r="T11" s="1"/>
      <c r="U11" s="1"/>
      <c r="V11" s="1"/>
      <c r="W11" s="1"/>
      <c r="X11" s="1"/>
      <c r="Y11" s="1"/>
      <c r="Z11" s="1"/>
      <c r="AA11" s="1"/>
    </row>
    <row r="12" ht="60.0" customHeight="1">
      <c r="A12" s="25"/>
      <c r="B12" s="15" t="s">
        <v>23</v>
      </c>
      <c r="C12" s="15" t="s">
        <v>24</v>
      </c>
      <c r="D12" s="29" t="s">
        <v>30</v>
      </c>
      <c r="E12" s="17" t="s">
        <v>26</v>
      </c>
      <c r="F12" s="25"/>
      <c r="G12" s="19">
        <v>0.001</v>
      </c>
      <c r="H12" s="20">
        <f>I12*G12</f>
        <v>2591.973244</v>
      </c>
      <c r="I12" s="20">
        <f>(N12/M12)*1000</f>
        <v>2591973.244</v>
      </c>
      <c r="J12" s="21" t="s">
        <v>28</v>
      </c>
      <c r="K12" s="22">
        <f>I12/8/2.5</f>
        <v>129598.6622</v>
      </c>
      <c r="L12" s="23">
        <v>8.54</v>
      </c>
      <c r="M12" s="23">
        <v>5.98</v>
      </c>
      <c r="N12" s="24">
        <v>15500.0</v>
      </c>
      <c r="O12" s="24">
        <v>22143.0</v>
      </c>
      <c r="P12" s="25"/>
      <c r="Q12" s="1"/>
      <c r="R12" s="1"/>
      <c r="S12" s="1"/>
      <c r="T12" s="1"/>
      <c r="U12" s="1"/>
      <c r="V12" s="1"/>
      <c r="W12" s="1"/>
      <c r="X12" s="1"/>
      <c r="Y12" s="1"/>
      <c r="Z12" s="1"/>
      <c r="AA12" s="1"/>
    </row>
    <row r="13" ht="60.0" customHeight="1">
      <c r="A13" s="25"/>
      <c r="B13" s="25"/>
      <c r="C13" s="25"/>
      <c r="D13" s="25"/>
      <c r="E13" s="25"/>
      <c r="F13" s="25"/>
      <c r="G13" s="25"/>
      <c r="H13" s="25"/>
      <c r="I13" s="25"/>
      <c r="J13" s="25"/>
      <c r="K13" s="25"/>
      <c r="L13" s="25"/>
      <c r="M13" s="25"/>
      <c r="N13" s="25"/>
      <c r="O13" s="25"/>
      <c r="P13" s="25"/>
      <c r="Q13" s="1"/>
      <c r="R13" s="1"/>
      <c r="S13" s="1"/>
      <c r="T13" s="1"/>
      <c r="U13" s="1"/>
      <c r="V13" s="1"/>
      <c r="W13" s="1"/>
      <c r="X13" s="1"/>
      <c r="Y13" s="1"/>
      <c r="Z13" s="1"/>
      <c r="AA13" s="1"/>
    </row>
    <row r="14" ht="60.0" customHeight="1">
      <c r="A14" s="25"/>
      <c r="B14" s="27"/>
      <c r="C14" s="27"/>
      <c r="D14" s="28"/>
      <c r="E14" s="28"/>
      <c r="F14" s="28"/>
      <c r="G14" s="25"/>
      <c r="H14" s="25"/>
      <c r="I14" s="25"/>
      <c r="J14" s="25"/>
      <c r="K14" s="25"/>
      <c r="L14" s="25"/>
      <c r="M14" s="25"/>
      <c r="N14" s="28"/>
      <c r="O14" s="25"/>
      <c r="P14" s="28"/>
      <c r="Q14" s="1"/>
      <c r="R14" s="1"/>
      <c r="S14" s="1"/>
      <c r="T14" s="1"/>
      <c r="U14" s="1"/>
      <c r="V14" s="1"/>
      <c r="W14" s="1"/>
      <c r="X14" s="1"/>
      <c r="Y14" s="1"/>
      <c r="Z14" s="1"/>
      <c r="AA14" s="1"/>
    </row>
    <row r="15" ht="24.0" customHeight="1">
      <c r="A15" s="30"/>
      <c r="B15" s="30"/>
      <c r="C15" s="30"/>
      <c r="D15" s="31"/>
      <c r="E15" s="32"/>
      <c r="F15" s="31"/>
      <c r="G15" s="33">
        <v>0.001</v>
      </c>
      <c r="H15" s="34">
        <f t="shared" ref="H15:I15" si="1">SUM(H9:H14)</f>
        <v>5852.842809</v>
      </c>
      <c r="I15" s="34">
        <f t="shared" si="1"/>
        <v>5852842.809</v>
      </c>
      <c r="J15" s="35"/>
      <c r="K15" s="34">
        <f>SUM(K9:K14)</f>
        <v>292642.1405</v>
      </c>
      <c r="L15" s="36"/>
      <c r="M15" s="36"/>
      <c r="N15" s="37">
        <f t="shared" ref="N15:O15" si="2">SUM(N9:N14)</f>
        <v>35000</v>
      </c>
      <c r="O15" s="37">
        <f t="shared" si="2"/>
        <v>50000</v>
      </c>
      <c r="P15" s="38"/>
      <c r="Q15" s="1"/>
      <c r="R15" s="1"/>
      <c r="S15" s="1"/>
      <c r="T15" s="1"/>
      <c r="U15" s="1"/>
      <c r="V15" s="1"/>
      <c r="W15" s="1"/>
      <c r="X15" s="1"/>
      <c r="Y15" s="1"/>
      <c r="Z15" s="1"/>
      <c r="AA15" s="1"/>
    </row>
    <row r="16" ht="14.25" customHeight="1">
      <c r="A16" s="1"/>
      <c r="B16" s="39"/>
      <c r="C16" s="1"/>
      <c r="D16" s="40"/>
      <c r="E16" s="40"/>
      <c r="F16" s="40"/>
      <c r="G16" s="41"/>
      <c r="H16" s="41"/>
      <c r="I16" s="41"/>
      <c r="J16" s="40"/>
      <c r="K16" s="40"/>
      <c r="L16" s="40"/>
      <c r="M16" s="40"/>
      <c r="N16" s="42"/>
      <c r="O16" s="1"/>
      <c r="P16" s="1"/>
      <c r="Q16" s="1"/>
      <c r="R16" s="1"/>
      <c r="S16" s="1"/>
      <c r="T16" s="1"/>
      <c r="U16" s="1"/>
      <c r="V16" s="1"/>
      <c r="W16" s="1"/>
      <c r="X16" s="1"/>
      <c r="Y16" s="1"/>
      <c r="Z16" s="1"/>
      <c r="AA16" s="1"/>
    </row>
    <row r="17" ht="31.5" customHeight="1">
      <c r="A17" s="43" t="s">
        <v>31</v>
      </c>
      <c r="B17" s="44"/>
      <c r="C17" s="44"/>
      <c r="D17" s="44"/>
      <c r="E17" s="44"/>
      <c r="F17" s="44"/>
      <c r="G17" s="44"/>
      <c r="H17" s="44"/>
      <c r="I17" s="1"/>
      <c r="J17" s="1"/>
      <c r="K17" s="1"/>
      <c r="L17" s="1"/>
      <c r="M17" s="1"/>
      <c r="N17" s="1"/>
      <c r="O17" s="1"/>
      <c r="P17" s="1"/>
      <c r="Q17" s="1"/>
      <c r="R17" s="1"/>
      <c r="S17" s="1"/>
      <c r="T17" s="1"/>
      <c r="U17" s="1"/>
      <c r="V17" s="1"/>
      <c r="W17" s="1"/>
      <c r="X17" s="1"/>
      <c r="Y17" s="1"/>
      <c r="Z17" s="1"/>
      <c r="AA17" s="1"/>
    </row>
    <row r="18" ht="14.25" customHeight="1">
      <c r="A18" s="45"/>
      <c r="I18" s="1"/>
      <c r="J18" s="1"/>
      <c r="K18" s="1"/>
      <c r="L18" s="1"/>
      <c r="M18" s="1"/>
      <c r="N18" s="1"/>
      <c r="O18" s="1"/>
      <c r="P18" s="1"/>
      <c r="Q18" s="1"/>
      <c r="R18" s="1"/>
      <c r="S18" s="1"/>
      <c r="T18" s="1"/>
      <c r="U18" s="1"/>
      <c r="V18" s="1"/>
      <c r="W18" s="1"/>
      <c r="X18" s="1"/>
      <c r="Y18" s="1"/>
      <c r="Z18" s="1"/>
      <c r="AA18" s="1"/>
    </row>
    <row r="19" ht="14.25" customHeight="1">
      <c r="A19" s="1"/>
      <c r="B19" s="1"/>
      <c r="C19" s="1"/>
      <c r="D19" s="46"/>
      <c r="E19" s="1"/>
      <c r="F19" s="46"/>
      <c r="G19" s="1"/>
      <c r="H19" s="1"/>
      <c r="I19" s="1"/>
      <c r="J19" s="1"/>
      <c r="K19" s="1"/>
      <c r="L19" s="1"/>
      <c r="M19" s="1"/>
      <c r="N19" s="1"/>
      <c r="O19" s="1"/>
      <c r="P19" s="1"/>
      <c r="Q19" s="1"/>
      <c r="R19" s="1"/>
      <c r="S19" s="1"/>
      <c r="T19" s="1"/>
      <c r="U19" s="1"/>
      <c r="V19" s="1"/>
      <c r="W19" s="1"/>
      <c r="X19" s="1"/>
      <c r="Y19" s="1"/>
      <c r="Z19" s="1"/>
      <c r="AA19" s="1"/>
    </row>
    <row r="20" ht="14.25" customHeight="1">
      <c r="A20" s="1"/>
      <c r="B20" s="1"/>
      <c r="C20" s="1"/>
      <c r="D20" s="47"/>
      <c r="E20" s="1"/>
      <c r="F20" s="47"/>
      <c r="G20" s="1"/>
      <c r="H20" s="1"/>
      <c r="I20" s="1"/>
      <c r="J20" s="1"/>
      <c r="K20" s="1"/>
      <c r="L20" s="1"/>
      <c r="M20" s="1"/>
      <c r="N20" s="1"/>
      <c r="O20" s="1"/>
      <c r="P20" s="1"/>
      <c r="Q20" s="1"/>
      <c r="R20" s="1"/>
      <c r="S20" s="1"/>
      <c r="T20" s="1"/>
      <c r="U20" s="1"/>
      <c r="V20" s="1"/>
      <c r="W20" s="1"/>
      <c r="X20" s="1"/>
      <c r="Y20" s="1"/>
      <c r="Z20" s="1"/>
      <c r="AA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ht="14.25" customHeight="1">
      <c r="A22" s="1"/>
      <c r="B22" s="1"/>
      <c r="C22" s="1"/>
      <c r="D22" s="1"/>
      <c r="E22" s="1"/>
      <c r="F22" s="1"/>
      <c r="G22" s="1"/>
      <c r="H22" s="1"/>
      <c r="I22" s="1"/>
      <c r="J22" s="1"/>
      <c r="K22" s="1"/>
      <c r="L22" s="1"/>
      <c r="M22" s="1"/>
      <c r="N22" s="1"/>
      <c r="O22" s="48"/>
      <c r="P22" s="1"/>
      <c r="Q22" s="1"/>
      <c r="R22" s="1"/>
      <c r="S22" s="1"/>
      <c r="T22" s="1"/>
      <c r="U22" s="1"/>
      <c r="V22" s="1"/>
      <c r="W22" s="1"/>
      <c r="X22" s="1"/>
      <c r="Y22" s="1"/>
      <c r="Z22" s="1"/>
      <c r="AA22" s="1"/>
    </row>
    <row r="23" ht="14.25" customHeight="1">
      <c r="A23" s="1"/>
      <c r="B23" s="1"/>
      <c r="C23" s="1"/>
      <c r="D23" s="1"/>
      <c r="E23" s="1"/>
      <c r="F23" s="1"/>
      <c r="G23" s="1"/>
      <c r="H23" s="1"/>
      <c r="I23" s="1"/>
      <c r="J23" s="1"/>
      <c r="K23" s="1"/>
      <c r="L23" s="1"/>
      <c r="M23" s="1"/>
      <c r="N23" s="1"/>
      <c r="O23" s="48"/>
      <c r="P23" s="1"/>
      <c r="Q23" s="1"/>
      <c r="R23" s="1"/>
      <c r="S23" s="1"/>
      <c r="T23" s="1"/>
      <c r="U23" s="1"/>
      <c r="V23" s="1"/>
      <c r="W23" s="1"/>
      <c r="X23" s="1"/>
      <c r="Y23" s="1"/>
      <c r="Z23" s="1"/>
      <c r="AA23" s="1"/>
    </row>
    <row r="24" ht="14.25" customHeight="1">
      <c r="A24" s="49"/>
      <c r="B24" s="1"/>
      <c r="C24" s="49"/>
      <c r="D24" s="1"/>
      <c r="E24" s="1"/>
      <c r="F24" s="1"/>
      <c r="G24" s="1"/>
      <c r="H24" s="1"/>
      <c r="I24" s="1"/>
      <c r="J24" s="1"/>
      <c r="K24" s="1"/>
      <c r="L24" s="1"/>
      <c r="M24" s="1"/>
      <c r="N24" s="1"/>
      <c r="O24" s="1"/>
      <c r="P24" s="1"/>
      <c r="Q24" s="1"/>
      <c r="R24" s="1"/>
      <c r="S24" s="1"/>
      <c r="T24" s="1"/>
      <c r="U24" s="1"/>
      <c r="V24" s="1"/>
      <c r="W24" s="1"/>
      <c r="X24" s="1"/>
      <c r="Y24" s="1"/>
      <c r="Z24" s="1"/>
      <c r="AA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ht="14.25" customHeight="1">
      <c r="A32" s="49"/>
      <c r="B32" s="1"/>
      <c r="C32" s="49"/>
      <c r="D32" s="1"/>
      <c r="E32" s="1"/>
      <c r="F32" s="1"/>
      <c r="G32" s="1"/>
      <c r="H32" s="1"/>
      <c r="I32" s="1"/>
      <c r="J32" s="1"/>
      <c r="K32" s="1"/>
      <c r="L32" s="1"/>
      <c r="M32" s="1"/>
      <c r="N32" s="1"/>
      <c r="O32" s="1"/>
      <c r="P32" s="1"/>
      <c r="Q32" s="1"/>
      <c r="R32" s="1"/>
      <c r="S32" s="1"/>
      <c r="T32" s="1"/>
      <c r="U32" s="1"/>
      <c r="V32" s="1"/>
      <c r="W32" s="1"/>
      <c r="X32" s="1"/>
      <c r="Y32" s="1"/>
      <c r="Z32" s="1"/>
      <c r="AA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ht="14.25" customHeight="1">
      <c r="A40" s="49"/>
      <c r="B40" s="1"/>
      <c r="C40" s="49"/>
      <c r="D40" s="1"/>
      <c r="E40" s="1"/>
      <c r="F40" s="1"/>
      <c r="G40" s="1"/>
      <c r="H40" s="1"/>
      <c r="I40" s="1"/>
      <c r="J40" s="1"/>
      <c r="K40" s="1"/>
      <c r="L40" s="1"/>
      <c r="M40" s="1"/>
      <c r="N40" s="1"/>
      <c r="O40" s="1"/>
      <c r="P40" s="1"/>
      <c r="Q40" s="1"/>
      <c r="R40" s="1"/>
      <c r="S40" s="1"/>
      <c r="T40" s="1"/>
      <c r="U40" s="1"/>
      <c r="V40" s="1"/>
      <c r="W40" s="1"/>
      <c r="X40" s="1"/>
      <c r="Y40" s="1"/>
      <c r="Z40" s="1"/>
      <c r="AA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ht="14.25" customHeight="1">
      <c r="A48" s="49"/>
      <c r="B48" s="1"/>
      <c r="C48" s="49"/>
      <c r="D48" s="1"/>
      <c r="E48" s="1"/>
      <c r="F48" s="1"/>
      <c r="G48" s="1"/>
      <c r="H48" s="1"/>
      <c r="I48" s="1"/>
      <c r="J48" s="1"/>
      <c r="K48" s="1"/>
      <c r="L48" s="1"/>
      <c r="M48" s="1"/>
      <c r="N48" s="1"/>
      <c r="O48" s="1"/>
      <c r="P48" s="1"/>
      <c r="Q48" s="1"/>
      <c r="R48" s="1"/>
      <c r="S48" s="1"/>
      <c r="T48" s="1"/>
      <c r="U48" s="1"/>
      <c r="V48" s="1"/>
      <c r="W48" s="1"/>
      <c r="X48" s="1"/>
      <c r="Y48" s="1"/>
      <c r="Z48" s="1"/>
      <c r="AA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4.25" customHeight="1">
      <c r="A64" s="1"/>
      <c r="B64" s="1"/>
      <c r="C64" s="1"/>
      <c r="D64" s="1"/>
      <c r="E64" s="1"/>
      <c r="F64" s="1"/>
      <c r="G64" s="1"/>
      <c r="H64" s="1"/>
      <c r="I64" s="1"/>
      <c r="J64" s="1"/>
      <c r="K64" s="50"/>
      <c r="L64" s="50"/>
      <c r="M64" s="50"/>
      <c r="N64" s="50"/>
      <c r="O64" s="50"/>
      <c r="P64" s="50"/>
      <c r="Q64" s="50"/>
      <c r="R64" s="50"/>
      <c r="S64" s="50"/>
      <c r="T64" s="50"/>
      <c r="U64" s="50"/>
      <c r="V64" s="50"/>
      <c r="W64" s="50"/>
      <c r="X64" s="50"/>
      <c r="Y64" s="50"/>
      <c r="Z64" s="50"/>
      <c r="AA64" s="50"/>
    </row>
    <row r="65" ht="14.25" customHeight="1">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row>
    <row r="66" ht="14.25" customHeight="1">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row>
    <row r="67" ht="14.25" customHeight="1">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c r="AA67" s="50"/>
    </row>
    <row r="68" ht="14.25" customHeight="1">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c r="AA68" s="50"/>
    </row>
    <row r="69" ht="14.25" customHeight="1">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c r="AA69" s="50"/>
    </row>
    <row r="70" ht="14.25" customHeight="1">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row>
    <row r="71" ht="14.25" customHeight="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row>
    <row r="72" ht="14.25" customHeight="1">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row>
    <row r="73" ht="14.25" customHeight="1">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row>
    <row r="74" ht="14.25" customHeight="1">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row>
    <row r="75" ht="14.25" customHeight="1">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row>
    <row r="76" ht="14.25" customHeight="1">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row>
    <row r="77" ht="14.25" customHeight="1">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row>
    <row r="78" ht="14.25" customHeight="1">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row>
    <row r="79" ht="14.25" customHeight="1">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row>
    <row r="80" ht="14.25" customHeight="1">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row>
    <row r="81" ht="14.25" customHeight="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row>
    <row r="82" ht="14.25" customHeight="1">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row>
    <row r="83" ht="14.25" customHeight="1">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row>
    <row r="84" ht="14.25" customHeight="1">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row>
    <row r="85" ht="14.25" customHeight="1">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row>
    <row r="86" ht="14.25" customHeight="1">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row>
    <row r="87" ht="14.25" customHeight="1">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row>
    <row r="88" ht="14.25" customHeight="1">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row>
    <row r="89" ht="14.25" customHeight="1">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row>
    <row r="90" ht="14.25" customHeight="1">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row>
    <row r="91" ht="14.25" customHeight="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row>
    <row r="92" ht="14.25" customHeight="1">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row>
    <row r="93" ht="14.25" customHeight="1">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row>
    <row r="94" ht="14.25" customHeight="1">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row>
    <row r="95" ht="14.25" customHeight="1">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row>
    <row r="96" ht="14.25" customHeight="1">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row>
    <row r="97" ht="14.25" customHeight="1">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row>
    <row r="98" ht="14.25" customHeight="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row>
    <row r="99" ht="14.25" customHeight="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row>
    <row r="100" ht="14.25" customHeight="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row>
    <row r="101" ht="14.25" customHeight="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row>
    <row r="102" ht="14.25" customHeight="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row>
    <row r="103" ht="14.25" customHeight="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row>
    <row r="104" ht="14.25" customHeight="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row>
    <row r="105" ht="14.25" customHeight="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row>
    <row r="106" ht="14.25" customHeight="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row>
    <row r="107" ht="14.25" customHeight="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row>
    <row r="108" ht="14.25" customHeight="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row>
    <row r="109" ht="14.25" customHeight="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row>
    <row r="110" ht="14.25" customHeight="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row>
    <row r="111" ht="14.25" customHeight="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row>
    <row r="112" ht="14.25" customHeight="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row>
    <row r="113" ht="14.25" customHeight="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row>
    <row r="114" ht="14.25" customHeight="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row>
    <row r="115" ht="14.25" customHeight="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row>
    <row r="116" ht="14.25" customHeight="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row>
    <row r="117" ht="14.25" customHeight="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row>
    <row r="118" ht="14.25" customHeight="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row>
    <row r="119" ht="14.25" customHeight="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row>
    <row r="120" ht="14.25" customHeight="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row>
    <row r="121" ht="14.25" customHeight="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row>
    <row r="122" ht="14.25" customHeight="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row>
    <row r="123" ht="14.25" customHeight="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row>
    <row r="124" ht="14.25" customHeight="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row>
    <row r="125" ht="14.25" customHeight="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row>
    <row r="126" ht="14.25" customHeight="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row>
    <row r="127" ht="14.25" customHeight="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row>
    <row r="128" ht="14.25" customHeight="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row>
    <row r="129" ht="14.25" customHeight="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row>
    <row r="130" ht="14.25" customHeight="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row>
    <row r="131" ht="14.25" customHeight="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row>
    <row r="132" ht="14.25" customHeight="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row>
    <row r="133" ht="14.25" customHeight="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row>
    <row r="134" ht="14.25" customHeight="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row>
    <row r="135" ht="14.25" customHeight="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row>
    <row r="136" ht="14.25" customHeight="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row>
    <row r="137" ht="14.25" customHeight="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row>
    <row r="138" ht="14.25" customHeight="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row>
    <row r="139" ht="14.25" customHeight="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row>
    <row r="140" ht="14.25" customHeight="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row>
    <row r="141" ht="14.25" customHeight="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row>
    <row r="142" ht="14.25" customHeight="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row>
    <row r="143" ht="14.25" customHeight="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row>
    <row r="144" ht="14.25" customHeight="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row>
    <row r="145" ht="14.25" customHeight="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row>
    <row r="146" ht="14.25" customHeight="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row>
    <row r="147" ht="14.25" customHeight="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row>
    <row r="148" ht="14.25" customHeight="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row>
    <row r="149" ht="14.25" customHeight="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row>
    <row r="150" ht="14.25" customHeight="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row>
    <row r="151" ht="14.25" customHeight="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row>
    <row r="152" ht="14.25" customHeight="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row>
    <row r="153" ht="14.25" customHeight="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row>
    <row r="154" ht="14.25" customHeight="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row>
    <row r="155" ht="14.25" customHeight="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row>
    <row r="156" ht="14.25" customHeight="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row>
    <row r="157" ht="14.25" customHeight="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row>
    <row r="158" ht="14.25" customHeight="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row>
    <row r="159" ht="14.25" customHeight="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row>
    <row r="160" ht="14.25" customHeight="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row>
    <row r="161" ht="14.25" customHeight="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row>
    <row r="162" ht="14.25"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row>
    <row r="163" ht="14.25"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row>
    <row r="164" ht="14.25"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row>
    <row r="165" ht="14.25" customHeight="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row>
    <row r="166" ht="14.25" customHeight="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row>
    <row r="167" ht="14.25" customHeight="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row>
    <row r="168" ht="14.25" customHeight="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row>
    <row r="169" ht="14.25" customHeight="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row>
    <row r="170" ht="14.25" customHeight="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row>
    <row r="171" ht="14.25" customHeight="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row>
    <row r="172" ht="14.25" customHeight="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row>
    <row r="173" ht="14.25" customHeight="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row>
    <row r="174" ht="14.25" customHeight="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row>
    <row r="175" ht="14.25" customHeight="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row>
    <row r="176" ht="14.25" customHeight="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row>
    <row r="177" ht="14.25" customHeight="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row>
    <row r="178" ht="14.25" customHeight="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row>
    <row r="179" ht="14.25" customHeight="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row>
    <row r="180" ht="14.25" customHeight="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row>
    <row r="181" ht="14.25" customHeight="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row>
    <row r="182" ht="14.25" customHeight="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row>
    <row r="183" ht="14.25" customHeight="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row>
    <row r="184" ht="14.25" customHeight="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row>
    <row r="185" ht="14.25" customHeight="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row>
    <row r="186" ht="14.25" customHeight="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row>
    <row r="187" ht="14.25" customHeight="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row>
    <row r="188" ht="14.25" customHeight="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row>
    <row r="189" ht="14.25" customHeight="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row>
    <row r="190" ht="14.25" customHeight="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row>
    <row r="191" ht="14.25" customHeight="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row>
    <row r="192" ht="14.25" customHeight="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row>
    <row r="193" ht="14.25" customHeight="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row>
    <row r="194" ht="14.25" customHeight="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row>
    <row r="195" ht="14.25" customHeight="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row>
    <row r="196" ht="14.25" customHeight="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row>
    <row r="197" ht="14.25" customHeight="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row>
    <row r="198" ht="14.25" customHeight="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row>
    <row r="199" ht="14.25" customHeight="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row>
    <row r="200" ht="14.25" customHeight="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row>
    <row r="201" ht="14.25" customHeight="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row>
    <row r="202" ht="14.25" customHeight="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row>
    <row r="203" ht="14.25" customHeight="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row>
    <row r="204" ht="14.25" customHeight="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row>
    <row r="205" ht="14.25" customHeight="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row>
    <row r="206" ht="14.25" customHeight="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row>
    <row r="207" ht="14.25" customHeight="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row>
    <row r="208" ht="14.25" customHeight="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row>
    <row r="209" ht="14.25" customHeight="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row>
    <row r="210" ht="14.25" customHeight="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row>
    <row r="211" ht="14.25" customHeight="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row>
    <row r="212" ht="14.25" customHeight="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row>
    <row r="213" ht="14.25" customHeight="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row>
    <row r="214" ht="14.25" customHeight="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row>
    <row r="215" ht="14.25" customHeight="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row>
    <row r="216" ht="14.25" customHeight="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row>
    <row r="217" ht="14.25" customHeight="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31">
    <mergeCell ref="L12:L14"/>
    <mergeCell ref="M12:M14"/>
    <mergeCell ref="I9:I11"/>
    <mergeCell ref="J9:J11"/>
    <mergeCell ref="L9:L11"/>
    <mergeCell ref="M9:M11"/>
    <mergeCell ref="N9:N11"/>
    <mergeCell ref="P9:P14"/>
    <mergeCell ref="O12:O14"/>
    <mergeCell ref="O9:O11"/>
    <mergeCell ref="N12:N14"/>
    <mergeCell ref="G9:G11"/>
    <mergeCell ref="H9:H11"/>
    <mergeCell ref="E12:E14"/>
    <mergeCell ref="G12:G14"/>
    <mergeCell ref="I12:I14"/>
    <mergeCell ref="J12:J14"/>
    <mergeCell ref="K9:K11"/>
    <mergeCell ref="K12:K14"/>
    <mergeCell ref="D12:D14"/>
    <mergeCell ref="B9:B11"/>
    <mergeCell ref="C9:C11"/>
    <mergeCell ref="B12:B14"/>
    <mergeCell ref="C12:C14"/>
    <mergeCell ref="F2:K4"/>
    <mergeCell ref="A9:A14"/>
    <mergeCell ref="D9:D11"/>
    <mergeCell ref="E9:E11"/>
    <mergeCell ref="F9:F14"/>
    <mergeCell ref="H12:H14"/>
    <mergeCell ref="A17:H1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2025-06-02T14:16:17Z</dcterms:created>
</cp:coreProperties>
</file>