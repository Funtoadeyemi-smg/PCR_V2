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funto.adeyemi/Documents/Career work/SMG Work/PCR_app/tests/customer_test_Calvinklein/"/>
    </mc:Choice>
  </mc:AlternateContent>
  <xr:revisionPtr revIDLastSave="0" documentId="8_{42D53ABF-E353-2146-B0DF-18461E10BE32}" xr6:coauthVersionLast="47" xr6:coauthVersionMax="47" xr10:uidLastSave="{00000000-0000-0000-0000-000000000000}"/>
  <bookViews>
    <workbookView xWindow="0" yWindow="740" windowWidth="30240" windowHeight="18900" xr2:uid="{CE977663-1B9D-4047-B6C3-8CB7D537B4D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1" l="1"/>
  <c r="O15" i="1"/>
  <c r="M15" i="1"/>
  <c r="I15" i="1"/>
  <c r="K15" i="1" s="1"/>
  <c r="O12" i="1"/>
  <c r="K12" i="1"/>
  <c r="I12" i="1"/>
  <c r="H12" i="1"/>
  <c r="O9" i="1"/>
  <c r="O18" i="1" s="1"/>
  <c r="I9" i="1"/>
  <c r="I18" i="1" s="1"/>
  <c r="H9" i="1"/>
  <c r="B3" i="1"/>
  <c r="B4" i="1" s="1"/>
  <c r="H15" i="1" l="1"/>
  <c r="H18" i="1" s="1"/>
  <c r="K9" i="1"/>
  <c r="K18" i="1" s="1"/>
</calcChain>
</file>

<file path=xl/sharedStrings.xml><?xml version="1.0" encoding="utf-8"?>
<sst xmlns="http://schemas.openxmlformats.org/spreadsheetml/2006/main" count="41" uniqueCount="34">
  <si>
    <t xml:space="preserve"> </t>
  </si>
  <si>
    <t>Campaign activation investment (Campaign gross cost):</t>
  </si>
  <si>
    <t>Audience360 - NCF Media Plan
Calvin Klein - Fragrance | Eternity Signatures</t>
  </si>
  <si>
    <t>Net media spend:</t>
  </si>
  <si>
    <t>Total fees:</t>
  </si>
  <si>
    <t>PO number:</t>
  </si>
  <si>
    <t>Channel</t>
  </si>
  <si>
    <t>Audience Data Source</t>
  </si>
  <si>
    <t>Platform</t>
  </si>
  <si>
    <t>Focus</t>
  </si>
  <si>
    <t>Format &amp; placement</t>
  </si>
  <si>
    <t>Targeting segment</t>
  </si>
  <si>
    <t>Estimated CTR</t>
  </si>
  <si>
    <t>Estimated link clicks</t>
  </si>
  <si>
    <t>Estimated Impressions</t>
  </si>
  <si>
    <t>Estimated Frequency</t>
  </si>
  <si>
    <t>Estimated Reach</t>
  </si>
  <si>
    <t>Gross CPM</t>
  </si>
  <si>
    <t>Net CPM</t>
  </si>
  <si>
    <t>Net spend by platform</t>
  </si>
  <si>
    <t>Gross spend by channel / platform</t>
  </si>
  <si>
    <t>Flight duration</t>
  </si>
  <si>
    <t>Paid Social</t>
  </si>
  <si>
    <t>Boots First Party Data</t>
  </si>
  <si>
    <t>Meta (Facebook &amp; Instagram)</t>
  </si>
  <si>
    <t>Awareness</t>
  </si>
  <si>
    <t>Static / Carousel / Video 
(in-feed and Story, both 1x1 (or 4x5) and 9x16 to be supplied</t>
  </si>
  <si>
    <t xml:space="preserve">Current Calvin Klein Fragrance Shoppers (L12M)
Lapsed Calvin Klein Fragrance Shoppers (L12-24M)
All Fragrance Shoppers (L24M) excl. Current and Lapsed CK Shoppers
Fine Fragrance Propensity Model excl. Current and Lapsed CK Shoppers
Lapsed Fragrance Purchaser (L6M no fragrance purchase, but purchased &gt;£50 fragrances in L6-24M) excl. Brand Shoppers
Gifting Shoppers L24M
Bespoke Competitor List </t>
  </si>
  <si>
    <t>3 per week</t>
  </si>
  <si>
    <t>[07/05/2025 - 03/07/2025]
8 weeks</t>
  </si>
  <si>
    <t>Sales</t>
  </si>
  <si>
    <t>TikTok</t>
  </si>
  <si>
    <t>Video</t>
  </si>
  <si>
    <t xml:space="preserve">Remarks: By agreeing to this media plan, you also agree to the media team optimising budget fluidly across channels and audiences where appropriate, and where optimisations are required to improve performance according to the briefs' KPIs and objectives, within the campaign flight duration.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</si>
</sst>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0.00%"/>
    <numFmt numFmtId="165" formatCode="\$#,##0_);\(\$#,##0\)"/>
  </numFmts>
  <fonts count="11" x14ac:knownFonts="1">
    <font>
      <sz val="12"/>
      <color theme="1"/>
      <name val="Aptos Narrow"/>
      <family val="2"/>
      <scheme val="minor"/>
    </font>
    <font>
      <sz val="11"/>
      <color rgb="FF000000"/>
      <name val="Montserrat"/>
      <family val="2"/>
    </font>
    <font>
      <b/>
      <sz val="11"/>
      <color rgb="FF000000"/>
      <name val="Montserrat"/>
      <family val="2"/>
    </font>
    <font>
      <b/>
      <sz val="17"/>
      <color rgb="FF000000"/>
      <name val="Montserrat"/>
      <family val="2"/>
    </font>
    <font>
      <sz val="10"/>
      <color theme="1"/>
      <name val="Arial"/>
      <family val="2"/>
    </font>
    <font>
      <b/>
      <sz val="11"/>
      <color rgb="FFFFFFFF"/>
      <name val="Montserrat"/>
      <family val="2"/>
    </font>
    <font>
      <b/>
      <sz val="11"/>
      <color rgb="FF222222"/>
      <name val="Montserrat"/>
      <family val="2"/>
    </font>
    <font>
      <sz val="11"/>
      <color rgb="FF222222"/>
      <name val="Montserrat"/>
      <family val="2"/>
    </font>
    <font>
      <sz val="10"/>
      <color rgb="FF000000"/>
      <name val="Arial"/>
      <family val="2"/>
    </font>
    <font>
      <sz val="11"/>
      <color rgb="FFFFFFFF"/>
      <name val="Montserrat"/>
      <family val="2"/>
    </font>
    <font>
      <b/>
      <i/>
      <sz val="11"/>
      <color rgb="FF000000"/>
      <name val="Montserrat"/>
      <family val="2"/>
    </font>
  </fonts>
  <fills count="4">
    <fill>
      <patternFill patternType="none"/>
    </fill>
    <fill>
      <patternFill patternType="gray125"/>
    </fill>
    <fill>
      <patternFill patternType="solid">
        <fgColor rgb="FFFFFFFF"/>
      </patternFill>
    </fill>
    <fill>
      <patternFill patternType="solid">
        <fgColor rgb="FF002060"/>
      </patternFill>
    </fill>
  </fills>
  <borders count="14">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FFFFFF"/>
      </right>
      <top style="thin">
        <color rgb="FFFFFFFF"/>
      </top>
      <bottom style="thin">
        <color rgb="FFFFFFFF"/>
      </bottom>
      <diagonal/>
    </border>
    <border>
      <left/>
      <right style="thin">
        <color rgb="FFFFFFFF"/>
      </right>
      <top style="thin">
        <color rgb="FFFFFFFF"/>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bottom/>
      <diagonal/>
    </border>
    <border>
      <left style="thin">
        <color rgb="FFFFFFFF"/>
      </left>
      <right style="thin">
        <color rgb="FFFFFFFF"/>
      </right>
      <top style="thin">
        <color rgb="FFC6C6C6"/>
      </top>
      <bottom style="thin">
        <color rgb="FFFFFFFF"/>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left" wrapText="1"/>
    </xf>
    <xf numFmtId="3" fontId="1" fillId="2" borderId="1" xfId="0" applyNumberFormat="1" applyFont="1" applyFill="1" applyBorder="1" applyAlignment="1">
      <alignment horizontal="left" wrapText="1"/>
    </xf>
    <xf numFmtId="164" fontId="1" fillId="2" borderId="1" xfId="0" applyNumberFormat="1" applyFont="1" applyFill="1" applyBorder="1" applyAlignment="1">
      <alignment horizontal="left" wrapText="1"/>
    </xf>
    <xf numFmtId="7" fontId="1" fillId="2" borderId="1" xfId="0" applyNumberFormat="1" applyFont="1" applyFill="1" applyBorder="1" applyAlignment="1">
      <alignment horizontal="left" wrapText="1"/>
    </xf>
    <xf numFmtId="0" fontId="2" fillId="0" borderId="2" xfId="0" applyFont="1" applyBorder="1" applyAlignment="1">
      <alignment horizontal="left" wrapText="1"/>
    </xf>
    <xf numFmtId="3" fontId="2" fillId="0" borderId="2" xfId="0" applyNumberFormat="1" applyFont="1" applyBorder="1" applyAlignment="1">
      <alignment horizontal="right"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0" xfId="0" applyFont="1" applyAlignment="1">
      <alignment horizontal="center" vertical="top" wrapText="1"/>
    </xf>
    <xf numFmtId="164" fontId="0" fillId="0" borderId="0" xfId="0" applyNumberFormat="1" applyAlignment="1">
      <alignment wrapText="1"/>
    </xf>
    <xf numFmtId="3" fontId="0" fillId="0" borderId="0" xfId="0" applyNumberFormat="1" applyAlignment="1">
      <alignment wrapText="1"/>
    </xf>
    <xf numFmtId="0" fontId="0" fillId="0" borderId="0" xfId="0" applyAlignment="1">
      <alignment wrapText="1"/>
    </xf>
    <xf numFmtId="0" fontId="2" fillId="0" borderId="5" xfId="0" applyFont="1" applyBorder="1" applyAlignment="1">
      <alignment horizontal="left" wrapText="1"/>
    </xf>
    <xf numFmtId="3" fontId="2" fillId="0" borderId="6" xfId="0" applyNumberFormat="1" applyFont="1" applyBorder="1" applyAlignment="1">
      <alignment horizontal="right"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4" fillId="0" borderId="9" xfId="0" applyFont="1" applyBorder="1" applyAlignment="1">
      <alignment horizontal="left"/>
    </xf>
    <xf numFmtId="164" fontId="4" fillId="0" borderId="9" xfId="0" applyNumberFormat="1" applyFont="1" applyBorder="1" applyAlignment="1">
      <alignment horizontal="left"/>
    </xf>
    <xf numFmtId="3" fontId="4" fillId="0" borderId="9" xfId="0" applyNumberFormat="1" applyFont="1" applyBorder="1" applyAlignment="1">
      <alignment horizontal="left"/>
    </xf>
    <xf numFmtId="0" fontId="5" fillId="3" borderId="2" xfId="0" applyFont="1" applyFill="1" applyBorder="1" applyAlignment="1">
      <alignment horizontal="center" wrapText="1"/>
    </xf>
    <xf numFmtId="3" fontId="5" fillId="3" borderId="2" xfId="0" applyNumberFormat="1" applyFont="1" applyFill="1" applyBorder="1" applyAlignment="1">
      <alignment horizontal="center" wrapText="1"/>
    </xf>
    <xf numFmtId="164" fontId="5" fillId="3" borderId="2" xfId="0" applyNumberFormat="1" applyFont="1" applyFill="1" applyBorder="1" applyAlignment="1">
      <alignment horizontal="center" wrapText="1"/>
    </xf>
    <xf numFmtId="7" fontId="5" fillId="3" borderId="2" xfId="0" applyNumberFormat="1" applyFont="1" applyFill="1" applyBorder="1" applyAlignment="1">
      <alignment horizontal="center" wrapText="1"/>
    </xf>
    <xf numFmtId="0" fontId="6" fillId="0" borderId="10" xfId="0" applyFont="1" applyBorder="1" applyAlignment="1">
      <alignment horizontal="center" vertical="top" wrapText="1"/>
    </xf>
    <xf numFmtId="3" fontId="6" fillId="2" borderId="11" xfId="0" applyNumberFormat="1" applyFont="1" applyFill="1" applyBorder="1" applyAlignment="1">
      <alignment horizontal="center" vertical="top" wrapText="1"/>
    </xf>
    <xf numFmtId="0" fontId="6" fillId="2" borderId="11" xfId="0" applyFont="1" applyFill="1" applyBorder="1" applyAlignment="1">
      <alignment horizontal="center" vertical="top" wrapText="1"/>
    </xf>
    <xf numFmtId="0" fontId="2" fillId="0" borderId="10" xfId="0" applyFont="1" applyBorder="1" applyAlignment="1">
      <alignment horizontal="center" vertical="top" wrapText="1"/>
    </xf>
    <xf numFmtId="0" fontId="7" fillId="2" borderId="11" xfId="0" applyFont="1" applyFill="1" applyBorder="1" applyAlignment="1">
      <alignment horizontal="center" vertical="top" wrapText="1"/>
    </xf>
    <xf numFmtId="0" fontId="1" fillId="0" borderId="10" xfId="0" applyFont="1" applyBorder="1" applyAlignment="1">
      <alignment horizontal="center" vertical="top" wrapText="1"/>
    </xf>
    <xf numFmtId="164" fontId="1" fillId="0" borderId="10" xfId="0" applyNumberFormat="1" applyFont="1" applyBorder="1" applyAlignment="1">
      <alignment horizontal="center" vertical="top" wrapText="1"/>
    </xf>
    <xf numFmtId="3" fontId="1" fillId="0" borderId="10" xfId="0" applyNumberFormat="1" applyFont="1" applyBorder="1" applyAlignment="1">
      <alignment horizontal="center" vertical="top" wrapText="1"/>
    </xf>
    <xf numFmtId="7" fontId="1" fillId="0" borderId="10" xfId="0" applyNumberFormat="1" applyFont="1" applyBorder="1" applyAlignment="1">
      <alignment horizontal="center" vertical="top" wrapText="1"/>
    </xf>
    <xf numFmtId="165" fontId="1" fillId="0" borderId="10" xfId="0" applyNumberFormat="1" applyFont="1" applyBorder="1" applyAlignment="1">
      <alignment horizontal="center" vertical="top" wrapText="1"/>
    </xf>
    <xf numFmtId="0" fontId="4" fillId="0" borderId="12" xfId="0" applyFont="1" applyBorder="1" applyAlignment="1">
      <alignment horizontal="left"/>
    </xf>
    <xf numFmtId="3" fontId="4" fillId="0" borderId="12" xfId="0" applyNumberFormat="1" applyFont="1" applyBorder="1" applyAlignment="1">
      <alignment horizontal="left"/>
    </xf>
    <xf numFmtId="164" fontId="4" fillId="0" borderId="12" xfId="0" applyNumberFormat="1" applyFont="1" applyBorder="1" applyAlignment="1">
      <alignment horizontal="left"/>
    </xf>
    <xf numFmtId="7" fontId="4" fillId="0" borderId="12" xfId="0" applyNumberFormat="1" applyFont="1" applyBorder="1" applyAlignment="1">
      <alignment horizontal="left"/>
    </xf>
    <xf numFmtId="0" fontId="4" fillId="0" borderId="5" xfId="0" applyFont="1" applyBorder="1" applyAlignment="1">
      <alignment horizontal="left"/>
    </xf>
    <xf numFmtId="3" fontId="4" fillId="0" borderId="5" xfId="0" applyNumberFormat="1" applyFont="1" applyBorder="1" applyAlignment="1">
      <alignment horizontal="left"/>
    </xf>
    <xf numFmtId="0" fontId="7" fillId="3" borderId="1" xfId="0" applyFont="1" applyFill="1" applyBorder="1" applyAlignment="1">
      <alignment horizontal="center" wrapText="1"/>
    </xf>
    <xf numFmtId="3" fontId="7" fillId="3" borderId="1" xfId="0" applyNumberFormat="1" applyFont="1" applyFill="1" applyBorder="1" applyAlignment="1">
      <alignment horizontal="center" wrapText="1"/>
    </xf>
    <xf numFmtId="0" fontId="1" fillId="3" borderId="1" xfId="0" applyFont="1" applyFill="1" applyBorder="1" applyAlignment="1">
      <alignment horizontal="center" wrapText="1"/>
    </xf>
    <xf numFmtId="0" fontId="8" fillId="3" borderId="1" xfId="0" applyFont="1" applyFill="1" applyBorder="1" applyAlignment="1">
      <alignment horizontal="center"/>
    </xf>
    <xf numFmtId="164" fontId="9" fillId="3" borderId="1" xfId="0" applyNumberFormat="1" applyFont="1" applyFill="1" applyBorder="1" applyAlignment="1">
      <alignment horizontal="center" wrapText="1"/>
    </xf>
    <xf numFmtId="3" fontId="9" fillId="3" borderId="1" xfId="0" applyNumberFormat="1" applyFont="1" applyFill="1" applyBorder="1" applyAlignment="1">
      <alignment horizontal="center" wrapText="1"/>
    </xf>
    <xf numFmtId="3" fontId="1" fillId="3" borderId="1" xfId="0" applyNumberFormat="1" applyFont="1" applyFill="1" applyBorder="1" applyAlignment="1">
      <alignment horizontal="center" wrapText="1"/>
    </xf>
    <xf numFmtId="7" fontId="9" fillId="3" borderId="1" xfId="0" applyNumberFormat="1" applyFont="1" applyFill="1" applyBorder="1" applyAlignment="1">
      <alignment horizontal="center" wrapText="1"/>
    </xf>
    <xf numFmtId="3" fontId="7" fillId="2" borderId="1" xfId="0" applyNumberFormat="1" applyFont="1" applyFill="1" applyBorder="1" applyAlignment="1">
      <alignment horizontal="center" wrapText="1"/>
    </xf>
    <xf numFmtId="0" fontId="1" fillId="2" borderId="1" xfId="0" applyFont="1" applyFill="1" applyBorder="1" applyAlignment="1">
      <alignment horizontal="center" wrapText="1"/>
    </xf>
    <xf numFmtId="3" fontId="1" fillId="2" borderId="1" xfId="0" applyNumberFormat="1" applyFont="1" applyFill="1" applyBorder="1" applyAlignment="1">
      <alignment horizontal="center" wrapText="1"/>
    </xf>
    <xf numFmtId="7" fontId="1" fillId="2" borderId="1" xfId="0" applyNumberFormat="1" applyFont="1" applyFill="1" applyBorder="1" applyAlignment="1">
      <alignment horizontal="center" wrapText="1"/>
    </xf>
    <xf numFmtId="3" fontId="9" fillId="2" borderId="1" xfId="0" applyNumberFormat="1" applyFont="1" applyFill="1" applyBorder="1" applyAlignment="1">
      <alignment horizontal="center" wrapText="1"/>
    </xf>
    <xf numFmtId="0" fontId="10" fillId="2" borderId="1" xfId="0" applyFont="1" applyFill="1" applyBorder="1" applyAlignment="1">
      <alignment horizontal="left" vertical="top" wrapText="1"/>
    </xf>
    <xf numFmtId="3" fontId="4" fillId="0" borderId="0" xfId="0" applyNumberFormat="1" applyFont="1" applyAlignment="1">
      <alignment horizontal="left"/>
    </xf>
    <xf numFmtId="0" fontId="4" fillId="0" borderId="0" xfId="0" applyFont="1" applyAlignment="1">
      <alignment horizontal="left"/>
    </xf>
    <xf numFmtId="164" fontId="4" fillId="0" borderId="0" xfId="0" applyNumberFormat="1" applyFont="1" applyAlignment="1">
      <alignment horizontal="left"/>
    </xf>
    <xf numFmtId="3" fontId="0" fillId="0" borderId="0" xfId="0" applyNumberFormat="1"/>
    <xf numFmtId="0" fontId="0" fillId="0" borderId="0" xfId="0"/>
    <xf numFmtId="164" fontId="0" fillId="0" borderId="0" xfId="0" applyNumberFormat="1"/>
    <xf numFmtId="0" fontId="1" fillId="2" borderId="13" xfId="0" applyFont="1" applyFill="1" applyBorder="1" applyAlignment="1">
      <alignment horizontal="left" wrapText="1"/>
    </xf>
    <xf numFmtId="0" fontId="1" fillId="2" borderId="3" xfId="0" applyFont="1" applyFill="1" applyBorder="1" applyAlignment="1">
      <alignment horizontal="left" wrapText="1"/>
    </xf>
    <xf numFmtId="164" fontId="1" fillId="2" borderId="1" xfId="0" applyNumberFormat="1"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1C06-C2E0-1246-B7E2-C5A6D33D2C16}">
  <dimension ref="A1:P26"/>
  <sheetViews>
    <sheetView tabSelected="1" workbookViewId="0">
      <selection activeCell="C8" sqref="C8"/>
    </sheetView>
  </sheetViews>
  <sheetFormatPr baseColWidth="10" defaultRowHeight="16" x14ac:dyDescent="0.2"/>
  <cols>
    <col min="1" max="1" width="20" customWidth="1"/>
  </cols>
  <sheetData>
    <row r="1" spans="1:16" x14ac:dyDescent="0.2">
      <c r="A1" s="1" t="s">
        <v>0</v>
      </c>
      <c r="B1" s="2"/>
      <c r="C1" s="1"/>
      <c r="D1" s="1"/>
      <c r="E1" s="1"/>
      <c r="F1" s="1"/>
      <c r="G1" s="3"/>
      <c r="H1" s="2"/>
      <c r="I1" s="2"/>
      <c r="J1" s="1"/>
      <c r="K1" s="2"/>
      <c r="L1" s="4"/>
      <c r="M1" s="4"/>
      <c r="N1" s="2"/>
      <c r="O1" s="2"/>
      <c r="P1" s="1"/>
    </row>
    <row r="2" spans="1:16" ht="136" x14ac:dyDescent="0.25">
      <c r="A2" s="5" t="s">
        <v>1</v>
      </c>
      <c r="B2" s="6"/>
      <c r="C2" s="7"/>
      <c r="D2" s="7"/>
      <c r="E2" s="8"/>
      <c r="F2" s="9" t="s">
        <v>2</v>
      </c>
      <c r="G2" s="10"/>
      <c r="H2" s="11"/>
      <c r="I2" s="11"/>
      <c r="J2" s="12"/>
      <c r="K2" s="11"/>
      <c r="L2" s="4"/>
      <c r="M2" s="4"/>
      <c r="N2" s="2"/>
      <c r="O2" s="2"/>
      <c r="P2" s="1"/>
    </row>
    <row r="3" spans="1:16" ht="46" x14ac:dyDescent="0.25">
      <c r="A3" s="13" t="s">
        <v>3</v>
      </c>
      <c r="B3" s="14">
        <f>0.7*B2</f>
        <v>0</v>
      </c>
      <c r="C3" s="7"/>
      <c r="D3" s="7"/>
      <c r="E3" s="15"/>
      <c r="F3" s="12"/>
      <c r="G3" s="10"/>
      <c r="H3" s="11"/>
      <c r="I3" s="11"/>
      <c r="J3" s="12"/>
      <c r="K3" s="11"/>
      <c r="L3" s="4"/>
      <c r="M3" s="4"/>
      <c r="N3" s="2"/>
      <c r="O3" s="2"/>
      <c r="P3" s="1"/>
    </row>
    <row r="4" spans="1:16" ht="31" x14ac:dyDescent="0.25">
      <c r="A4" s="13" t="s">
        <v>4</v>
      </c>
      <c r="B4" s="14">
        <f>B2-B3</f>
        <v>0</v>
      </c>
      <c r="C4" s="7"/>
      <c r="D4" s="7"/>
      <c r="E4" s="16"/>
      <c r="F4" s="17"/>
      <c r="G4" s="18"/>
      <c r="H4" s="19"/>
      <c r="I4" s="19"/>
      <c r="J4" s="17"/>
      <c r="K4" s="19"/>
      <c r="L4" s="4"/>
      <c r="M4" s="4"/>
      <c r="N4" s="2"/>
      <c r="O4" s="2"/>
      <c r="P4" s="1"/>
    </row>
    <row r="5" spans="1:16" ht="30" x14ac:dyDescent="0.2">
      <c r="A5" s="13" t="s">
        <v>5</v>
      </c>
      <c r="B5" s="14"/>
      <c r="C5" s="1"/>
      <c r="D5" s="1"/>
      <c r="E5" s="1"/>
      <c r="F5" s="1"/>
      <c r="G5" s="3"/>
      <c r="H5" s="2"/>
      <c r="I5" s="2"/>
      <c r="J5" s="1"/>
      <c r="K5" s="2"/>
      <c r="L5" s="4"/>
      <c r="M5" s="4"/>
      <c r="N5" s="2"/>
      <c r="O5" s="2"/>
      <c r="P5" s="1"/>
    </row>
    <row r="6" spans="1:16" x14ac:dyDescent="0.2">
      <c r="A6" s="1"/>
      <c r="B6" s="2"/>
      <c r="C6" s="1"/>
      <c r="D6" s="1"/>
      <c r="E6" s="1"/>
      <c r="F6" s="1"/>
      <c r="G6" s="3"/>
      <c r="H6" s="2"/>
      <c r="I6" s="2"/>
      <c r="J6" s="1"/>
      <c r="K6" s="2"/>
      <c r="L6" s="4"/>
      <c r="M6" s="4"/>
      <c r="N6" s="2"/>
      <c r="O6" s="2"/>
      <c r="P6" s="1"/>
    </row>
    <row r="7" spans="1:16" x14ac:dyDescent="0.2">
      <c r="A7" s="1"/>
      <c r="B7" s="2"/>
      <c r="C7" s="1"/>
      <c r="D7" s="1"/>
      <c r="E7" s="1"/>
      <c r="F7" s="1"/>
      <c r="G7" s="3"/>
      <c r="H7" s="2"/>
      <c r="I7" s="2"/>
      <c r="J7" s="1"/>
      <c r="K7" s="2"/>
      <c r="L7" s="4"/>
      <c r="M7" s="4"/>
      <c r="N7" s="2"/>
      <c r="O7" s="2"/>
      <c r="P7" s="1"/>
    </row>
    <row r="8" spans="1:16" ht="60" x14ac:dyDescent="0.2">
      <c r="A8" s="20" t="s">
        <v>6</v>
      </c>
      <c r="B8" s="21" t="s">
        <v>7</v>
      </c>
      <c r="C8" s="20" t="s">
        <v>8</v>
      </c>
      <c r="D8" s="20" t="s">
        <v>9</v>
      </c>
      <c r="E8" s="20" t="s">
        <v>10</v>
      </c>
      <c r="F8" s="20" t="s">
        <v>11</v>
      </c>
      <c r="G8" s="22" t="s">
        <v>12</v>
      </c>
      <c r="H8" s="21" t="s">
        <v>13</v>
      </c>
      <c r="I8" s="21" t="s">
        <v>14</v>
      </c>
      <c r="J8" s="20" t="s">
        <v>15</v>
      </c>
      <c r="K8" s="21" t="s">
        <v>16</v>
      </c>
      <c r="L8" s="23" t="s">
        <v>17</v>
      </c>
      <c r="M8" s="23" t="s">
        <v>18</v>
      </c>
      <c r="N8" s="21" t="s">
        <v>19</v>
      </c>
      <c r="O8" s="21" t="s">
        <v>20</v>
      </c>
      <c r="P8" s="20" t="s">
        <v>21</v>
      </c>
    </row>
    <row r="9" spans="1:16" x14ac:dyDescent="0.2">
      <c r="A9" s="24" t="s">
        <v>22</v>
      </c>
      <c r="B9" s="25" t="s">
        <v>23</v>
      </c>
      <c r="C9" s="26" t="s">
        <v>24</v>
      </c>
      <c r="D9" s="27" t="s">
        <v>25</v>
      </c>
      <c r="E9" s="28" t="s">
        <v>26</v>
      </c>
      <c r="F9" s="29" t="s">
        <v>27</v>
      </c>
      <c r="G9" s="30">
        <v>1.5E-3</v>
      </c>
      <c r="H9" s="31">
        <f>I9*G9</f>
        <v>9030.1003344481596</v>
      </c>
      <c r="I9" s="31">
        <f>(N9/M9)*1000</f>
        <v>6020066.8896321068</v>
      </c>
      <c r="J9" s="29" t="s">
        <v>28</v>
      </c>
      <c r="K9" s="31">
        <f>SUM(I9/8/3)</f>
        <v>250836.12040133777</v>
      </c>
      <c r="L9" s="32">
        <v>8.5399999999999991</v>
      </c>
      <c r="M9" s="32">
        <v>5.98</v>
      </c>
      <c r="N9" s="33">
        <v>36000</v>
      </c>
      <c r="O9" s="33">
        <f>N9/0.7</f>
        <v>51428.571428571435</v>
      </c>
      <c r="P9" s="29" t="s">
        <v>29</v>
      </c>
    </row>
    <row r="10" spans="1:16" x14ac:dyDescent="0.2">
      <c r="A10" s="34"/>
      <c r="B10" s="35"/>
      <c r="C10" s="34"/>
      <c r="D10" s="34"/>
      <c r="E10" s="34"/>
      <c r="F10" s="34"/>
      <c r="G10" s="36"/>
      <c r="H10" s="35"/>
      <c r="I10" s="35"/>
      <c r="J10" s="34"/>
      <c r="K10" s="35"/>
      <c r="L10" s="37"/>
      <c r="M10" s="37"/>
      <c r="N10" s="35"/>
      <c r="O10" s="35"/>
      <c r="P10" s="34"/>
    </row>
    <row r="11" spans="1:16" x14ac:dyDescent="0.2">
      <c r="A11" s="34"/>
      <c r="B11" s="35"/>
      <c r="C11" s="34"/>
      <c r="D11" s="38"/>
      <c r="E11" s="38"/>
      <c r="F11" s="34"/>
      <c r="G11" s="36"/>
      <c r="H11" s="35"/>
      <c r="I11" s="35"/>
      <c r="J11" s="34"/>
      <c r="K11" s="35"/>
      <c r="L11" s="37"/>
      <c r="M11" s="37"/>
      <c r="N11" s="39"/>
      <c r="O11" s="35"/>
      <c r="P11" s="34"/>
    </row>
    <row r="12" spans="1:16" x14ac:dyDescent="0.2">
      <c r="A12" s="34"/>
      <c r="B12" s="25" t="s">
        <v>23</v>
      </c>
      <c r="C12" s="26" t="s">
        <v>24</v>
      </c>
      <c r="D12" s="27" t="s">
        <v>30</v>
      </c>
      <c r="E12" s="28" t="s">
        <v>26</v>
      </c>
      <c r="F12" s="34"/>
      <c r="G12" s="30">
        <v>1.5E-3</v>
      </c>
      <c r="H12" s="31">
        <f>I12*G12</f>
        <v>5016.7224080267561</v>
      </c>
      <c r="I12" s="31">
        <f>(N12/M12)*1000</f>
        <v>3344481.6053511705</v>
      </c>
      <c r="J12" s="29" t="s">
        <v>28</v>
      </c>
      <c r="K12" s="31">
        <f>SUM(I12/8/3)</f>
        <v>139353.40022296543</v>
      </c>
      <c r="L12" s="32">
        <v>8.5399999999999991</v>
      </c>
      <c r="M12" s="32">
        <v>5.98</v>
      </c>
      <c r="N12" s="33">
        <v>20000</v>
      </c>
      <c r="O12" s="33">
        <f>N12/0.7</f>
        <v>28571.428571428572</v>
      </c>
      <c r="P12" s="34"/>
    </row>
    <row r="13" spans="1:16" x14ac:dyDescent="0.2">
      <c r="A13" s="34"/>
      <c r="B13" s="35"/>
      <c r="C13" s="34"/>
      <c r="D13" s="34"/>
      <c r="E13" s="34"/>
      <c r="F13" s="34"/>
      <c r="G13" s="36"/>
      <c r="H13" s="35"/>
      <c r="I13" s="35"/>
      <c r="J13" s="34"/>
      <c r="K13" s="35"/>
      <c r="L13" s="37"/>
      <c r="M13" s="37"/>
      <c r="N13" s="35"/>
      <c r="O13" s="35"/>
      <c r="P13" s="34"/>
    </row>
    <row r="14" spans="1:16" x14ac:dyDescent="0.2">
      <c r="A14" s="34"/>
      <c r="B14" s="35"/>
      <c r="C14" s="34"/>
      <c r="D14" s="38"/>
      <c r="E14" s="38"/>
      <c r="F14" s="34"/>
      <c r="G14" s="36"/>
      <c r="H14" s="35"/>
      <c r="I14" s="35"/>
      <c r="J14" s="34"/>
      <c r="K14" s="35"/>
      <c r="L14" s="37"/>
      <c r="M14" s="37"/>
      <c r="N14" s="39"/>
      <c r="O14" s="35"/>
      <c r="P14" s="34"/>
    </row>
    <row r="15" spans="1:16" x14ac:dyDescent="0.2">
      <c r="A15" s="34"/>
      <c r="B15" s="25" t="s">
        <v>23</v>
      </c>
      <c r="C15" s="26" t="s">
        <v>31</v>
      </c>
      <c r="D15" s="27" t="s">
        <v>25</v>
      </c>
      <c r="E15" s="28" t="s">
        <v>32</v>
      </c>
      <c r="F15" s="34"/>
      <c r="G15" s="30">
        <v>1.5E-3</v>
      </c>
      <c r="H15" s="31">
        <f>I15*G15</f>
        <v>4109.5890410958909</v>
      </c>
      <c r="I15" s="31">
        <f>(N15/M15)*1000</f>
        <v>2739726.0273972605</v>
      </c>
      <c r="J15" s="29" t="s">
        <v>28</v>
      </c>
      <c r="K15" s="31">
        <f>SUM(I15/8/3)</f>
        <v>114155.25114155252</v>
      </c>
      <c r="L15" s="32">
        <v>7.3</v>
      </c>
      <c r="M15" s="32">
        <f>L15*0.7</f>
        <v>5.1099999999999994</v>
      </c>
      <c r="N15" s="33">
        <v>14000</v>
      </c>
      <c r="O15" s="33">
        <f>N15/0.7</f>
        <v>20000</v>
      </c>
      <c r="P15" s="34"/>
    </row>
    <row r="16" spans="1:16" x14ac:dyDescent="0.2">
      <c r="A16" s="34"/>
      <c r="B16" s="35"/>
      <c r="C16" s="34"/>
      <c r="D16" s="34"/>
      <c r="E16" s="34"/>
      <c r="F16" s="34"/>
      <c r="G16" s="36"/>
      <c r="H16" s="35"/>
      <c r="I16" s="35"/>
      <c r="J16" s="34"/>
      <c r="K16" s="35"/>
      <c r="L16" s="37"/>
      <c r="M16" s="37"/>
      <c r="N16" s="35"/>
      <c r="O16" s="35"/>
      <c r="P16" s="34"/>
    </row>
    <row r="17" spans="1:16" x14ac:dyDescent="0.2">
      <c r="A17" s="34"/>
      <c r="B17" s="35"/>
      <c r="C17" s="34"/>
      <c r="D17" s="38"/>
      <c r="E17" s="38"/>
      <c r="F17" s="38"/>
      <c r="G17" s="36"/>
      <c r="H17" s="35"/>
      <c r="I17" s="35"/>
      <c r="J17" s="34"/>
      <c r="K17" s="35"/>
      <c r="L17" s="37"/>
      <c r="M17" s="37"/>
      <c r="N17" s="39"/>
      <c r="O17" s="35"/>
      <c r="P17" s="38"/>
    </row>
    <row r="18" spans="1:16" x14ac:dyDescent="0.2">
      <c r="A18" s="40"/>
      <c r="B18" s="41"/>
      <c r="C18" s="40"/>
      <c r="D18" s="42"/>
      <c r="E18" s="43"/>
      <c r="F18" s="42"/>
      <c r="G18" s="44">
        <v>1.5E-3</v>
      </c>
      <c r="H18" s="45">
        <f>SUM(H9:H17)</f>
        <v>18156.411783570809</v>
      </c>
      <c r="I18" s="45">
        <f>SUM(I9:I17)</f>
        <v>12104274.522380538</v>
      </c>
      <c r="J18" s="46"/>
      <c r="K18" s="45">
        <f>SUM(K9:K17)</f>
        <v>504344.77176585572</v>
      </c>
      <c r="L18" s="47"/>
      <c r="M18" s="47"/>
      <c r="N18" s="45">
        <f>SUM(N9:N17)</f>
        <v>70000</v>
      </c>
      <c r="O18" s="45">
        <f>SUM(O9:O17)</f>
        <v>100000</v>
      </c>
      <c r="P18" s="46"/>
    </row>
    <row r="19" spans="1:16" x14ac:dyDescent="0.2">
      <c r="A19" s="1"/>
      <c r="B19" s="48"/>
      <c r="C19" s="1"/>
      <c r="D19" s="49"/>
      <c r="E19" s="49"/>
      <c r="F19" s="49"/>
      <c r="G19" s="50"/>
      <c r="H19" s="50"/>
      <c r="I19" s="50"/>
      <c r="J19" s="49"/>
      <c r="K19" s="50"/>
      <c r="L19" s="51"/>
      <c r="M19" s="51"/>
      <c r="N19" s="52"/>
      <c r="O19" s="2"/>
      <c r="P19" s="1"/>
    </row>
    <row r="20" spans="1:16" x14ac:dyDescent="0.2">
      <c r="A20" s="53" t="s">
        <v>33</v>
      </c>
      <c r="B20" s="54"/>
      <c r="C20" s="55"/>
      <c r="D20" s="55"/>
      <c r="E20" s="55"/>
      <c r="F20" s="55"/>
      <c r="G20" s="56"/>
      <c r="H20" s="54"/>
      <c r="I20" s="2"/>
      <c r="J20" s="1"/>
      <c r="K20" s="2"/>
      <c r="L20" s="4"/>
      <c r="M20" s="4"/>
      <c r="N20" s="2"/>
      <c r="O20" s="2"/>
      <c r="P20" s="1"/>
    </row>
    <row r="21" spans="1:16" x14ac:dyDescent="0.2">
      <c r="A21" s="55"/>
      <c r="B21" s="57"/>
      <c r="C21" s="58"/>
      <c r="D21" s="58"/>
      <c r="E21" s="58"/>
      <c r="F21" s="58"/>
      <c r="G21" s="59"/>
      <c r="H21" s="57"/>
      <c r="I21" s="2"/>
      <c r="J21" s="1"/>
      <c r="K21" s="2"/>
      <c r="L21" s="4"/>
      <c r="M21" s="4"/>
      <c r="N21" s="2"/>
      <c r="O21" s="2"/>
      <c r="P21" s="1"/>
    </row>
    <row r="22" spans="1:16" x14ac:dyDescent="0.2">
      <c r="A22" s="1"/>
      <c r="B22" s="2"/>
      <c r="C22" s="1"/>
      <c r="D22" s="60"/>
      <c r="E22" s="1"/>
      <c r="F22" s="60"/>
      <c r="G22" s="3"/>
      <c r="H22" s="2"/>
      <c r="I22" s="2"/>
      <c r="J22" s="1"/>
      <c r="K22" s="2"/>
      <c r="L22" s="4"/>
      <c r="M22" s="4"/>
      <c r="N22" s="2"/>
      <c r="O22" s="2"/>
      <c r="P22" s="1"/>
    </row>
    <row r="23" spans="1:16" x14ac:dyDescent="0.2">
      <c r="A23" s="1"/>
      <c r="B23" s="2"/>
      <c r="C23" s="1"/>
      <c r="D23" s="61"/>
      <c r="E23" s="1"/>
      <c r="F23" s="61"/>
      <c r="G23" s="3"/>
      <c r="H23" s="2"/>
      <c r="I23" s="2"/>
      <c r="J23" s="1"/>
      <c r="K23" s="2"/>
      <c r="L23" s="4"/>
      <c r="M23" s="4"/>
      <c r="N23" s="2"/>
      <c r="O23" s="2"/>
      <c r="P23" s="1"/>
    </row>
    <row r="24" spans="1:16" x14ac:dyDescent="0.2">
      <c r="A24" s="1"/>
      <c r="B24" s="2"/>
      <c r="C24" s="1"/>
      <c r="D24" s="1"/>
      <c r="E24" s="1"/>
      <c r="F24" s="1"/>
      <c r="G24" s="3"/>
      <c r="H24" s="2"/>
      <c r="I24" s="2"/>
      <c r="J24" s="1"/>
      <c r="K24" s="2"/>
      <c r="L24" s="4"/>
      <c r="M24" s="4"/>
      <c r="N24" s="2"/>
      <c r="O24" s="2"/>
      <c r="P24" s="1"/>
    </row>
    <row r="25" spans="1:16" x14ac:dyDescent="0.2">
      <c r="A25" s="1"/>
      <c r="B25" s="2"/>
      <c r="C25" s="1"/>
      <c r="D25" s="1"/>
      <c r="E25" s="1"/>
      <c r="F25" s="1"/>
      <c r="G25" s="3"/>
      <c r="H25" s="2"/>
      <c r="I25" s="2"/>
      <c r="J25" s="1"/>
      <c r="K25" s="2"/>
      <c r="L25" s="4"/>
      <c r="M25" s="4"/>
      <c r="N25" s="2"/>
      <c r="O25" s="62"/>
      <c r="P25" s="1"/>
    </row>
    <row r="26" spans="1:16" x14ac:dyDescent="0.2">
      <c r="A26" s="1"/>
      <c r="B26" s="2"/>
      <c r="C26" s="1"/>
      <c r="D26" s="1"/>
      <c r="E26" s="1"/>
      <c r="F26" s="1"/>
      <c r="G26" s="3"/>
      <c r="H26" s="2"/>
      <c r="I26" s="2"/>
      <c r="J26" s="1"/>
      <c r="K26" s="2"/>
      <c r="L26" s="4"/>
      <c r="M26" s="4"/>
      <c r="N26" s="2"/>
      <c r="O26" s="62"/>
      <c r="P26" s="1"/>
    </row>
  </sheetData>
  <mergeCells count="44">
    <mergeCell ref="O15:O17"/>
    <mergeCell ref="A20:H21"/>
    <mergeCell ref="I15:I17"/>
    <mergeCell ref="J15:J17"/>
    <mergeCell ref="K15:K17"/>
    <mergeCell ref="L15:L17"/>
    <mergeCell ref="M15:M17"/>
    <mergeCell ref="N15:N17"/>
    <mergeCell ref="L12:L14"/>
    <mergeCell ref="M12:M14"/>
    <mergeCell ref="N12:N14"/>
    <mergeCell ref="O12:O14"/>
    <mergeCell ref="B15:B17"/>
    <mergeCell ref="C15:C17"/>
    <mergeCell ref="D15:D17"/>
    <mergeCell ref="E15:E17"/>
    <mergeCell ref="G15:G17"/>
    <mergeCell ref="H15:H17"/>
    <mergeCell ref="P9:P17"/>
    <mergeCell ref="B12:B14"/>
    <mergeCell ref="C12:C14"/>
    <mergeCell ref="D12:D14"/>
    <mergeCell ref="E12:E14"/>
    <mergeCell ref="G12:G14"/>
    <mergeCell ref="H12:H14"/>
    <mergeCell ref="I12:I14"/>
    <mergeCell ref="J12:J14"/>
    <mergeCell ref="K12:K14"/>
    <mergeCell ref="J9:J11"/>
    <mergeCell ref="K9:K11"/>
    <mergeCell ref="L9:L11"/>
    <mergeCell ref="M9:M11"/>
    <mergeCell ref="N9:N11"/>
    <mergeCell ref="O9:O11"/>
    <mergeCell ref="F2:K4"/>
    <mergeCell ref="A9:A17"/>
    <mergeCell ref="B9:B11"/>
    <mergeCell ref="C9:C11"/>
    <mergeCell ref="D9:D11"/>
    <mergeCell ref="E9:E11"/>
    <mergeCell ref="F9:F17"/>
    <mergeCell ref="G9:G11"/>
    <mergeCell ref="H9:H11"/>
    <mergeCell ref="I9:I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Funto Adeyemi</dc:creator>
  <cp:lastModifiedBy>Funto Adeyemi</cp:lastModifiedBy>
  <dcterms:created xsi:type="dcterms:W3CDTF">2026-01-22T10:42:27Z</dcterms:created>
  <dcterms:modified xsi:type="dcterms:W3CDTF">2026-01-22T10:43:24Z</dcterms:modified>
</cp:coreProperties>
</file>